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firstSheet="18" activeTab="32"/>
  </bookViews>
  <sheets>
    <sheet name="1" sheetId="1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  <sheet name="31" sheetId="32" r:id="rId31"/>
    <sheet name="TOTAL" sheetId="33" r:id="rId32"/>
    <sheet name="DETALLADO" sheetId="34" r:id="rId33"/>
    <sheet name="PROVEEDORES" sheetId="35" r:id="rId34"/>
  </sheets>
  <definedNames>
    <definedName name="_xlnm._FilterDatabase" localSheetId="32" hidden="1">DETALLADO!$B$2:$AC$622</definedName>
    <definedName name="_xlnm.Print_Area" localSheetId="0">'1'!$A$1:$E$59</definedName>
    <definedName name="_xlnm.Print_Area" localSheetId="9">'10'!$A$1:$E$59</definedName>
    <definedName name="_xlnm.Print_Area" localSheetId="10">'11'!$A$1:$E$59</definedName>
    <definedName name="_xlnm.Print_Area" localSheetId="11">'12'!$A$1:$E$59</definedName>
    <definedName name="_xlnm.Print_Area" localSheetId="12">'13'!$A$1:$E$59</definedName>
    <definedName name="_xlnm.Print_Area" localSheetId="13">'14'!$A$1:$E$59</definedName>
    <definedName name="_xlnm.Print_Area" localSheetId="14">'15'!$A$1:$E$59</definedName>
    <definedName name="_xlnm.Print_Area" localSheetId="15">'16'!$A$1:$E$59</definedName>
    <definedName name="_xlnm.Print_Area" localSheetId="16">'17'!$A$1:$E$59</definedName>
    <definedName name="_xlnm.Print_Area" localSheetId="17">'18'!$A$1:$E$59</definedName>
    <definedName name="_xlnm.Print_Area" localSheetId="18">'19'!$A$1:$E$59</definedName>
    <definedName name="_xlnm.Print_Area" localSheetId="1">'2'!$A$1:$E$59</definedName>
    <definedName name="_xlnm.Print_Area" localSheetId="19">'20'!$A$1:$E$59</definedName>
    <definedName name="_xlnm.Print_Area" localSheetId="20">'21'!$A$1:$E$59</definedName>
    <definedName name="_xlnm.Print_Area" localSheetId="21">'22'!$A$1:$E$59</definedName>
    <definedName name="_xlnm.Print_Area" localSheetId="22">'23'!$A$1:$E$59</definedName>
    <definedName name="_xlnm.Print_Area" localSheetId="23">'24'!$A$1:$E$59</definedName>
    <definedName name="_xlnm.Print_Area" localSheetId="24">'25'!$A$1:$E$59</definedName>
    <definedName name="_xlnm.Print_Area" localSheetId="25">'26'!$A$1:$E$59</definedName>
    <definedName name="_xlnm.Print_Area" localSheetId="26">'27'!$A$1:$E$59</definedName>
    <definedName name="_xlnm.Print_Area" localSheetId="27">'28'!$A$1:$E$59</definedName>
    <definedName name="_xlnm.Print_Area" localSheetId="28">'29'!$A$1:$E$59</definedName>
    <definedName name="_xlnm.Print_Area" localSheetId="2">'3'!$A$1:$E$59</definedName>
    <definedName name="_xlnm.Print_Area" localSheetId="29">'30'!$A$1:$E$59</definedName>
    <definedName name="_xlnm.Print_Area" localSheetId="30">'31'!$A$1:$E$59</definedName>
    <definedName name="_xlnm.Print_Area" localSheetId="3">'4'!$A$1:$E$59</definedName>
    <definedName name="_xlnm.Print_Area" localSheetId="4">'5'!$A$1:$E$59</definedName>
    <definedName name="_xlnm.Print_Area" localSheetId="5">'6'!$A$1:$E$59</definedName>
    <definedName name="_xlnm.Print_Area" localSheetId="6">'7'!$A$1:$E$59</definedName>
    <definedName name="_xlnm.Print_Area" localSheetId="7">'8'!$A$1:$E$59</definedName>
    <definedName name="_xlnm.Print_Area" localSheetId="8">'9'!$A$1:$E$59</definedName>
    <definedName name="CONCEPTO">DETALLADO!$C$3:$C$61</definedName>
    <definedName name="CONCEPTOS">DETALLADO!$B$3:$B$61</definedName>
    <definedName name="PRO">PROVEEDORES!$B$2:$B$197</definedName>
    <definedName name="PROV">PROVEEDORES!#REF!</definedName>
    <definedName name="PROVEEDORES">PROVEEDORES!$B$2:$B$450</definedName>
    <definedName name="V.">DETALLADO!$C$3:$C$61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<sst xmlns="http://schemas.openxmlformats.org/spreadsheetml/2006/main" count="3128" uniqueCount="358">
  <si>
    <t>QUESO Y CAFÉ</t>
  </si>
  <si>
    <t xml:space="preserve">CUADRE DE CAJA MAÑANA </t>
  </si>
  <si>
    <t>CUADRE DE CAJA TARDE</t>
  </si>
  <si>
    <t xml:space="preserve">NIT </t>
  </si>
  <si>
    <t xml:space="preserve">PROVEEDOR </t>
  </si>
  <si>
    <t xml:space="preserve">CONCEPTO </t>
  </si>
  <si>
    <t xml:space="preserve">DESCRIPCIÓN </t>
  </si>
  <si>
    <t xml:space="preserve">VALOR </t>
  </si>
  <si>
    <t xml:space="preserve">PROP. TRANSF.: </t>
  </si>
  <si>
    <t xml:space="preserve">PROP. BANCO: </t>
  </si>
  <si>
    <t xml:space="preserve">PROP. EFECTIVO: </t>
  </si>
  <si>
    <t xml:space="preserve">GASTO: </t>
  </si>
  <si>
    <t xml:space="preserve">TRANSFERENCIA: </t>
  </si>
  <si>
    <t xml:space="preserve">BANCO: </t>
  </si>
  <si>
    <t xml:space="preserve">EFECTIVO: </t>
  </si>
  <si>
    <t xml:space="preserve"> </t>
  </si>
  <si>
    <t xml:space="preserve">TOTAL: </t>
  </si>
  <si>
    <t xml:space="preserve">DIFERENCIA: </t>
  </si>
  <si>
    <t>TOTAL VENTA:</t>
  </si>
  <si>
    <t xml:space="preserve">PROPINA TRANSFERENCIA: </t>
  </si>
  <si>
    <t xml:space="preserve">ACUM. PROPINA TRANFERENCIA: </t>
  </si>
  <si>
    <t xml:space="preserve">DIFERENCIA PLANILLA VS CUADRE DE CAJA </t>
  </si>
  <si>
    <t xml:space="preserve">PROPINA POR BANCO: </t>
  </si>
  <si>
    <t xml:space="preserve">ACUM. PROPINA BANCO: </t>
  </si>
  <si>
    <t xml:space="preserve">PROPINA EN EFECTIVO: </t>
  </si>
  <si>
    <t xml:space="preserve">ACUM. PROPINA EFECTIVO: </t>
  </si>
  <si>
    <t xml:space="preserve">FACTURAS EN EFECTIVO:  </t>
  </si>
  <si>
    <t xml:space="preserve">TOTAL EGRESOS: </t>
  </si>
  <si>
    <t xml:space="preserve">ACUMULADO TRANSFERENCIA: </t>
  </si>
  <si>
    <t xml:space="preserve">ACUMULADO BANCO: </t>
  </si>
  <si>
    <t xml:space="preserve">TOTAL EFECTIVO REAL ACTUAL: </t>
  </si>
  <si>
    <t xml:space="preserve">TOTAL BANCO: </t>
  </si>
  <si>
    <t xml:space="preserve">TOTAL EFECTIVO: </t>
  </si>
  <si>
    <t xml:space="preserve">EFECTIVO ACTUAL PLANILLA: </t>
  </si>
  <si>
    <t xml:space="preserve">TOTAL VENTA: </t>
  </si>
  <si>
    <t xml:space="preserve">EFECTIVO ANTERIOR: </t>
  </si>
  <si>
    <t xml:space="preserve">EGRESO DE CAJA MAYOR </t>
  </si>
  <si>
    <t>CONTEO DE EFECTIVO</t>
  </si>
  <si>
    <t xml:space="preserve">EFECTIVO </t>
  </si>
  <si>
    <t xml:space="preserve">DENOMINACIÓN </t>
  </si>
  <si>
    <t xml:space="preserve">CANTIDAD </t>
  </si>
  <si>
    <t>MONEDAS DE 100</t>
  </si>
  <si>
    <t>MONEDAS DE 200</t>
  </si>
  <si>
    <t>MONEDAS DE 500</t>
  </si>
  <si>
    <t>MONEDAS DE 1.000</t>
  </si>
  <si>
    <t>BILLETES DE 2.000</t>
  </si>
  <si>
    <t>BILLETES DE 5.000</t>
  </si>
  <si>
    <t>BILLETES DE 10.000</t>
  </si>
  <si>
    <t>BILLETES DE 20.000</t>
  </si>
  <si>
    <t>BILLETES DE 50.000</t>
  </si>
  <si>
    <t>BILLETES DE 100.000</t>
  </si>
  <si>
    <t>BASE:</t>
  </si>
  <si>
    <t>BANCO</t>
  </si>
  <si>
    <t xml:space="preserve">TOTAL EFECTIVO MENOS LA BASE: </t>
  </si>
  <si>
    <t xml:space="preserve">ACUM. DE PROPINA TRANSFERENCIA: </t>
  </si>
  <si>
    <t xml:space="preserve">ACUMULADO DE PROPINA EN BANCO: </t>
  </si>
  <si>
    <t xml:space="preserve">ACUMULADO DE PROPINA POR EFECTIVO: </t>
  </si>
  <si>
    <t xml:space="preserve">ACUMULADO DE TRANSFERENCIA: </t>
  </si>
  <si>
    <t xml:space="preserve">ACUMULADO DE BANCO: </t>
  </si>
  <si>
    <t xml:space="preserve">REAL DE BANCO: </t>
  </si>
  <si>
    <t xml:space="preserve">EGRESO PROPINA </t>
  </si>
  <si>
    <t>INGRESO DE EFECTIVO</t>
  </si>
  <si>
    <t xml:space="preserve">PROPINA BANCO: </t>
  </si>
  <si>
    <t xml:space="preserve">PROPINA EFECTIVO: </t>
  </si>
  <si>
    <t>PROYECCIÓN</t>
  </si>
  <si>
    <t xml:space="preserve">TOTAL VENTA </t>
  </si>
  <si>
    <t xml:space="preserve">FECHA </t>
  </si>
  <si>
    <t>%</t>
  </si>
  <si>
    <t>% MATERIA PRIMA</t>
  </si>
  <si>
    <t xml:space="preserve">INVENTARIO INICIAL: </t>
  </si>
  <si>
    <t xml:space="preserve">INVENTARIO FINAL: </t>
  </si>
  <si>
    <t xml:space="preserve">AVERIAS: </t>
  </si>
  <si>
    <t xml:space="preserve">COMPRAS: </t>
  </si>
  <si>
    <t>% NÓMINA</t>
  </si>
  <si>
    <t xml:space="preserve">SEGURIDAD SOCIAL: </t>
  </si>
  <si>
    <t xml:space="preserve">NÓMINA: </t>
  </si>
  <si>
    <t xml:space="preserve">TURNOS Y H. EXTRAS: </t>
  </si>
  <si>
    <t>SIMULACIÓN, (SE MODIFICAN LA VENTA Y LOS PORCENTAJES)</t>
  </si>
  <si>
    <t xml:space="preserve">VENTA: </t>
  </si>
  <si>
    <t xml:space="preserve">MATERIA PRIMA: </t>
  </si>
  <si>
    <t>SIMULACIÓN, (SE MODIFICA LA VENTA Y EL EFECTIVO)</t>
  </si>
  <si>
    <t xml:space="preserve">TOTAL DE EGRESOS </t>
  </si>
  <si>
    <t>VALOR TOTAL</t>
  </si>
  <si>
    <t>FECHA</t>
  </si>
  <si>
    <t>COMPRAS (M.P.)</t>
  </si>
  <si>
    <t>ARRIENDO</t>
  </si>
  <si>
    <t>MENSUALIDAD ADMINISTRACIÓN</t>
  </si>
  <si>
    <t>MENSUALIDAD PARQUEADERO</t>
  </si>
  <si>
    <t>COMISIÓN Y GASTOS FINANCIEROS</t>
  </si>
  <si>
    <t>SERVICIO DE AGUA</t>
  </si>
  <si>
    <t>SERVICIO DE ENERGÍA</t>
  </si>
  <si>
    <t>SERVICIO DE GAS</t>
  </si>
  <si>
    <t>SERVICIO DE INTERNET Y TELEFONIA</t>
  </si>
  <si>
    <t>ASESORÍA EMPRESARIAL</t>
  </si>
  <si>
    <t>IMPUESTO HORTIFRUTICULA (FRUVER)</t>
  </si>
  <si>
    <t>IMPUESTO RST</t>
  </si>
  <si>
    <t>IMPUESTOS</t>
  </si>
  <si>
    <t>PROVISIÓN IMPUESTO RST</t>
  </si>
  <si>
    <t>PROVISIÓN IMPUESTOS</t>
  </si>
  <si>
    <t>DOTACIÓN</t>
  </si>
  <si>
    <t>EXAMENES OCUPACIONALES</t>
  </si>
  <si>
    <t>LIQUIDACIONES LABORALES</t>
  </si>
  <si>
    <t>VACACIONES LABORALES</t>
  </si>
  <si>
    <t>SEGURIDAD SOCIAL</t>
  </si>
  <si>
    <t>NÓMINA</t>
  </si>
  <si>
    <t>TURNOS Y H. EXTRAS</t>
  </si>
  <si>
    <t>ASEO</t>
  </si>
  <si>
    <t>ANUALIDAD DATAICO</t>
  </si>
  <si>
    <t>DESECHABLES</t>
  </si>
  <si>
    <t>DECORACIÓN FECHAS ESPECIALES</t>
  </si>
  <si>
    <t>DEVOLUCIÓN TERCEROS</t>
  </si>
  <si>
    <t>DIVERSOS</t>
  </si>
  <si>
    <t>DOMICILIOS</t>
  </si>
  <si>
    <t>FOTOS CARTAS MENÚ</t>
  </si>
  <si>
    <t>GRANJA</t>
  </si>
  <si>
    <t>MANTENIMIENTO</t>
  </si>
  <si>
    <t>MEMBRESIA PRICESMART</t>
  </si>
  <si>
    <t>MARKETING DIGITAL</t>
  </si>
  <si>
    <t>MENSUALIDAD SOFTWARE</t>
  </si>
  <si>
    <t>PAPELERIA Y DECORACION</t>
  </si>
  <si>
    <t>PANEL SENSORIAL</t>
  </si>
  <si>
    <t>PARQUEADERO</t>
  </si>
  <si>
    <t>PÓLIZA SURA</t>
  </si>
  <si>
    <t>PRUEBAS COCINA</t>
  </si>
  <si>
    <t>RENOVACION CAMARA Y COMERCIO</t>
  </si>
  <si>
    <t>REPOSICIÓN DE MENAJE</t>
  </si>
  <si>
    <t>REPRESENTACION LEGAL</t>
  </si>
  <si>
    <t>TRANSPORTE - ACARREOS</t>
  </si>
  <si>
    <t>TRANSPORTE Y HOSPEDAJE ASESORES</t>
  </si>
  <si>
    <t>CERTIFICADO MANIPULACIÓN DE ALIMENTOS</t>
  </si>
  <si>
    <t>PRIMA DE SERVICIOS SEM. 1</t>
  </si>
  <si>
    <t>PRIMA DE SERVICIOS SEM. 2</t>
  </si>
  <si>
    <t>CESANTIAS</t>
  </si>
  <si>
    <t>INTERESES A LAS CESANTIAS</t>
  </si>
  <si>
    <t>INVERSIÓN</t>
  </si>
  <si>
    <t>PRESTAMO SOCIO</t>
  </si>
  <si>
    <t>REINTEGRO AL EFECTIVO</t>
  </si>
  <si>
    <t>TOTAL CONCEPTOS:</t>
  </si>
  <si>
    <t>TOTAL EGRESOS:</t>
  </si>
  <si>
    <t xml:space="preserve">TOTAL EGRESOS MENOR: </t>
  </si>
  <si>
    <t xml:space="preserve">TOTAL EGRESOS MAYOR, EFECTIVO: </t>
  </si>
  <si>
    <t xml:space="preserve">TOTAL EGRESOS MAYOR, BANCO: </t>
  </si>
  <si>
    <t xml:space="preserve">TOTAL, OTROS INGRESOS: </t>
  </si>
  <si>
    <t>GRAN TOTAL</t>
  </si>
  <si>
    <t xml:space="preserve">UTILIDAD: </t>
  </si>
  <si>
    <t xml:space="preserve">INVERSIONES: </t>
  </si>
  <si>
    <t xml:space="preserve">RENTABILIDAD: </t>
  </si>
  <si>
    <t>CONCEPTO</t>
  </si>
  <si>
    <t>VALOR</t>
  </si>
  <si>
    <t xml:space="preserve">COMPRAS (M.P.): </t>
  </si>
  <si>
    <t xml:space="preserve">ARRIENDO: </t>
  </si>
  <si>
    <t xml:space="preserve">MENSUALIDAD ADMINISTRACIÓN: </t>
  </si>
  <si>
    <t xml:space="preserve">MENSUALIDAD PARQUEADERO: </t>
  </si>
  <si>
    <t xml:space="preserve">COMISIÓN Y GASTOS FINANCIEROS: </t>
  </si>
  <si>
    <t xml:space="preserve">SERVICIO DE AGUA: </t>
  </si>
  <si>
    <t xml:space="preserve">SERVICIO DE ENERGÍA: </t>
  </si>
  <si>
    <t xml:space="preserve">SERVICIO DE GAS: </t>
  </si>
  <si>
    <t xml:space="preserve">SERVICIO DE INTERNET Y TELEFONIA: </t>
  </si>
  <si>
    <t xml:space="preserve">ASESORÍA EMPRESARIAL: </t>
  </si>
  <si>
    <t xml:space="preserve">IMPUESTO HORTIFRUTICULA (FRUVER): </t>
  </si>
  <si>
    <t xml:space="preserve">IMPUESTO RST: </t>
  </si>
  <si>
    <t xml:space="preserve">IMPUESTOS: </t>
  </si>
  <si>
    <t xml:space="preserve">PROVISIÓN IMPUESTO RST: </t>
  </si>
  <si>
    <t xml:space="preserve">PROVISIÓN IMPUESTOS: </t>
  </si>
  <si>
    <t xml:space="preserve">DOTACIÓN: </t>
  </si>
  <si>
    <t xml:space="preserve">EXAMENES OCUPACIONALES: </t>
  </si>
  <si>
    <t xml:space="preserve">LIQUIDACIONES LABORALES: </t>
  </si>
  <si>
    <t xml:space="preserve">VACACIONES LABORALES: </t>
  </si>
  <si>
    <t>NÓMINA: }</t>
  </si>
  <si>
    <t xml:space="preserve">ASEO: </t>
  </si>
  <si>
    <t xml:space="preserve">ANUALIDAD DATAICO: </t>
  </si>
  <si>
    <t xml:space="preserve">DESECHABLES: </t>
  </si>
  <si>
    <t xml:space="preserve">DECORACIÓN FECHAS ESPECIALES: </t>
  </si>
  <si>
    <t xml:space="preserve">DEVOLUCIÓN TERCEROS: </t>
  </si>
  <si>
    <t xml:space="preserve">DIVERSOS: </t>
  </si>
  <si>
    <t xml:space="preserve">DOMICILIOS: </t>
  </si>
  <si>
    <t xml:space="preserve">FOTOS CARTAS MENÚ: </t>
  </si>
  <si>
    <t xml:space="preserve">GRANJA: </t>
  </si>
  <si>
    <t xml:space="preserve">MANTENIMIENTO: </t>
  </si>
  <si>
    <t xml:space="preserve">MEMBRESIA PRICESMART: </t>
  </si>
  <si>
    <t xml:space="preserve">MARKETING DIGITAL: </t>
  </si>
  <si>
    <t xml:space="preserve">MENSUALIDAD SOFTWARE: </t>
  </si>
  <si>
    <t xml:space="preserve">PAPELERIA Y DECORACION: </t>
  </si>
  <si>
    <t xml:space="preserve">PANEL SENSORIAL: </t>
  </si>
  <si>
    <t xml:space="preserve">PARQUEADERO: </t>
  </si>
  <si>
    <t xml:space="preserve">PÓLIZA SURA: </t>
  </si>
  <si>
    <t xml:space="preserve">PRUEBAS COCINA: </t>
  </si>
  <si>
    <t xml:space="preserve">RENOVACION CAMARA Y COMERCIO: </t>
  </si>
  <si>
    <t xml:space="preserve">REPOSICIÓN DE MENAJE: </t>
  </si>
  <si>
    <t xml:space="preserve">REPRESENTACION LEGAL: </t>
  </si>
  <si>
    <t xml:space="preserve">TRANSPORTE - ACARREOS: </t>
  </si>
  <si>
    <t xml:space="preserve">TRANSPORTE Y HOSPEDAJE ASESORES: </t>
  </si>
  <si>
    <t xml:space="preserve">CERTIFICADO MANIPULACIÓN DE ALIMENTOS: </t>
  </si>
  <si>
    <t xml:space="preserve">.: </t>
  </si>
  <si>
    <t xml:space="preserve">PRIMA DE SERVICIOS SEM. 1: </t>
  </si>
  <si>
    <t xml:space="preserve">PRIMA DE SERVICIOS SEM. 2: </t>
  </si>
  <si>
    <t xml:space="preserve">CESANTIAS: </t>
  </si>
  <si>
    <t xml:space="preserve">INTERESES A LAS CESANTIAS: </t>
  </si>
  <si>
    <t xml:space="preserve">INVERSIÓN: </t>
  </si>
  <si>
    <t xml:space="preserve">PRESTAMO SOCIO: </t>
  </si>
  <si>
    <t xml:space="preserve">REINTEGRO AL EFECTIVO: </t>
  </si>
  <si>
    <t>PROVEEDOR</t>
  </si>
  <si>
    <t>A1A INMOBILIARIA SAS 01 00</t>
  </si>
  <si>
    <t>AEROVIAS DE INTEGRACIÓN REGIONAL S.A.</t>
  </si>
  <si>
    <t>ALEJANDRO ZULUAGA GONZALEZ</t>
  </si>
  <si>
    <t>ALEXANDRA ROZO PESCADOR</t>
  </si>
  <si>
    <t>ALMACENES ÉXITO S.A</t>
  </si>
  <si>
    <t>ALMACENES LA 13 S.A.S</t>
  </si>
  <si>
    <t>ANGELA MILENA VALLEJO CASTAÑEDA</t>
  </si>
  <si>
    <t>ARBELAEZ MEDINA JUAN ESTEBAN</t>
  </si>
  <si>
    <t>ARROGANTE ITALIAN ATYPICAL S.A.S</t>
  </si>
  <si>
    <t>ATLANTIC FS S.A.S.</t>
  </si>
  <si>
    <t>AVIDESA DE OCCIDENTE S.A</t>
  </si>
  <si>
    <t>AVSA S.A</t>
  </si>
  <si>
    <t>BAKERY SERVICE FOODS S A S 01 00</t>
  </si>
  <si>
    <t>BOLSAS PLASTICAS FREDY S.A.S.</t>
  </si>
  <si>
    <t>BUITRAGO REINOSA JORGE IVAN</t>
  </si>
  <si>
    <t>C.G.I. COLOMBIA S.A.S</t>
  </si>
  <si>
    <t>CAMARA DE COMERCIO DE ARMENIA Y DEL QUINDIO</t>
  </si>
  <si>
    <t>CAMARA DE COMERCIO DE BOGOTA</t>
  </si>
  <si>
    <t>CAMARA DE COMERCIO DE PEREIRA</t>
  </si>
  <si>
    <t>CAÑAS CORREA ANA JUDIT</t>
  </si>
  <si>
    <t>CARDILICORES SAS</t>
  </si>
  <si>
    <t>CARNES FINAS GUADALUPE SAS</t>
  </si>
  <si>
    <t>CERECOL S.A.S</t>
  </si>
  <si>
    <t>CHILCO DISTRIBUIDORA DE GAS Y ENERGIA SAS ESP</t>
  </si>
  <si>
    <t>CHRISTIAN GALLEGO RIVERA</t>
  </si>
  <si>
    <t>CLAUDIA PATRICIA VARELA JIMENEZ</t>
  </si>
  <si>
    <t>COCINA SOLUCIONES SAS</t>
  </si>
  <si>
    <t>COLOMBIANA DE COMERCIO S.A.</t>
  </si>
  <si>
    <t xml:space="preserve">COMERCIALIZADORA  Y DISTRIBUIDORA  BYC DEL  NORTE  SAS </t>
  </si>
  <si>
    <t>COMERCIALIZADORA LM ALZATE S.A.S</t>
  </si>
  <si>
    <t>COMERCIALIZADORA Y DISTRIBUIDORA B Y C DEL NORTE</t>
  </si>
  <si>
    <t>COMPANIA INTERNACIONAL SMART FOOD S.A.S.</t>
  </si>
  <si>
    <t>COMPAÑIA NACIONAL DE LEVADURAS LEVAPAN S.A.</t>
  </si>
  <si>
    <t>COOPERATIVA COLANTA</t>
  </si>
  <si>
    <t>CORRALES GALLEGO LUZ ANDREA</t>
  </si>
  <si>
    <t>CRECENTO INVERSIONES S.A.S.</t>
  </si>
  <si>
    <t>Cuatroe SAS</t>
  </si>
  <si>
    <t>D1 S A S</t>
  </si>
  <si>
    <t>DANIEL MAURICIO GARCIA MARIN</t>
  </si>
  <si>
    <t>DE MODA S.A.S</t>
  </si>
  <si>
    <t>DE MODA SAS</t>
  </si>
  <si>
    <t>DELMAR COMERCIALIZADORA SAS</t>
  </si>
  <si>
    <t>DIANA CAROLINA LOPEZ GARCIA</t>
  </si>
  <si>
    <t>DIANA MARIA GIRALDO LONDOÑO</t>
  </si>
  <si>
    <t>DISPAPELES S.A.S.</t>
  </si>
  <si>
    <t>DISTRIBUCIONES QUINVALLE S.A.S</t>
  </si>
  <si>
    <t>DISTRIBUIDORA ARCO</t>
  </si>
  <si>
    <t>DISTRIBUIDORA BRAHMAN SAS</t>
  </si>
  <si>
    <t>DISTRIBUIDORA DE VINOS Y LICORES S.A.S.</t>
  </si>
  <si>
    <t>DISTRIBUIDORA LA 19 SAS</t>
  </si>
  <si>
    <t>DONDOHE4K S.A.S</t>
  </si>
  <si>
    <t>DORA CELY MARIN OTALVARO</t>
  </si>
  <si>
    <t>DUVAN ALFONSO TAPASCO ROJAS</t>
  </si>
  <si>
    <t>EMPRESA AGROINDUSTRIAL COOPERATIVA</t>
  </si>
  <si>
    <t>ENTRE VIAS FERRETERIA S.A.S.</t>
  </si>
  <si>
    <t>ESPECIALISTAS DEL CAFÉ S.A.S.</t>
  </si>
  <si>
    <t>ESTACION DE SERVICIO FONDA CENTRAL LTDA</t>
  </si>
  <si>
    <t>FRIGOARRAYANES LTDA</t>
  </si>
  <si>
    <t>FROZEN FRUITS S.A.S</t>
  </si>
  <si>
    <t>FRUTAS JH SAS</t>
  </si>
  <si>
    <t>FRUTOLIMA S.A.S</t>
  </si>
  <si>
    <t>GARCIA HENAO ELIANA</t>
  </si>
  <si>
    <t>GASEOSAS LUX S.A.S.</t>
  </si>
  <si>
    <t>GERMAIN DE JESUS GRAJALES AGUDELO</t>
  </si>
  <si>
    <t>GERMAN GIL PEREZ</t>
  </si>
  <si>
    <t>GLORIA AMPARO ANAYA PALACIO</t>
  </si>
  <si>
    <t>GRAFICAS &amp; EMPAQUES UNIVERSAL S.AS.</t>
  </si>
  <si>
    <t>GRUPO LA LICUADORA SAS</t>
  </si>
  <si>
    <t>GUTIERREZ MUÑOZ CARLOS ALBERTO</t>
  </si>
  <si>
    <t>HIELO POLAR DE LOS ANDES S A S</t>
  </si>
  <si>
    <t>HOYOS VELASQUEZ JULIAN</t>
  </si>
  <si>
    <t>IBAGUE GALINDO LUIS FERNANDO</t>
  </si>
  <si>
    <t>ICEBERGLP SAS</t>
  </si>
  <si>
    <t>INDUSTRIA NACIONAL DE GASEOSAS S.A.S.</t>
  </si>
  <si>
    <t>INSUMOS Y ADITIVOS ALIMENTARIOS IAA SAS</t>
  </si>
  <si>
    <t>INVERSIONES JERONIMO S.A.S</t>
  </si>
  <si>
    <t>INVERSIONES JINCA S.A.S</t>
  </si>
  <si>
    <t>INVERSIONES SANTA CECILIA S.P. SAS</t>
  </si>
  <si>
    <t>INVERSIONES ZIMA S.A.S.</t>
  </si>
  <si>
    <t>JALBERT ALONSO GRAJALES AGUDELO</t>
  </si>
  <si>
    <t>JENAGRO 104 SAS</t>
  </si>
  <si>
    <t>JERONIMO MARTINS COLOMBIA S.A.S.</t>
  </si>
  <si>
    <t>JOSE ANTONIO TORRES GUEVARA</t>
  </si>
  <si>
    <t>JOSE YIMI VALENCIA MERCHAN</t>
  </si>
  <si>
    <t>Juan Carlos Carmona Betancourt</t>
  </si>
  <si>
    <t>JUAN CARLOS MORENO CAMPIÑO</t>
  </si>
  <si>
    <t>Juan Carlos Soto Betancourth</t>
  </si>
  <si>
    <t>JUAN D HOYOS DISTRIBUCIONES SAS</t>
  </si>
  <si>
    <t>LASSO VALENCIA FRANCISCO JOSE</t>
  </si>
  <si>
    <t>LATORRE DUQUE EUGENIA DEL PILAR</t>
  </si>
  <si>
    <t>LEIDY  JOHANA VALENCIA HERNANDEZ</t>
  </si>
  <si>
    <t>LEONARDO  HERNANDEZ MARQUEZ</t>
  </si>
  <si>
    <t>LOPEZ FERNANDEZ FABIAN ARLEX</t>
  </si>
  <si>
    <t>LUCERO ALVAREZ Mesa</t>
  </si>
  <si>
    <t>LUCERO CUARAN LAUREANO SILVIO</t>
  </si>
  <si>
    <t>LUCY MOLINA FORERO</t>
  </si>
  <si>
    <t>LUZ AMPARO MUÑOZ RESTREPO 01 00</t>
  </si>
  <si>
    <t>MAKRO SUPERMAYORISTA S.A.S</t>
  </si>
  <si>
    <t>MARCELA  OCAMPO MONSALVE</t>
  </si>
  <si>
    <t>MARIO LEYDEN VIDAL</t>
  </si>
  <si>
    <t>MARSAL DISTRIBUCIONES S.A.S</t>
  </si>
  <si>
    <t>MARTINEZ PRADA SANTIAGO</t>
  </si>
  <si>
    <t>MAS VENDING S.A.S</t>
  </si>
  <si>
    <t>MECANELECTRO SA S</t>
  </si>
  <si>
    <t>MESDI COLOMBIA SAS</t>
  </si>
  <si>
    <t>MUNDIAL DE ILUMINACION SAS</t>
  </si>
  <si>
    <t>MURILLO GARCIA TATIANA ALEJANDRA</t>
  </si>
  <si>
    <t>NANCY YULIANA  GUTIERREZ HERNANDEZ</t>
  </si>
  <si>
    <t>NATIVOS FOOD SERVICE S.A.S.</t>
  </si>
  <si>
    <t>NATURAL.IT COLOMBIA S.A.S</t>
  </si>
  <si>
    <t>NOHEMI AMPARO ZAPATA MUÑOZ</t>
  </si>
  <si>
    <t>PANAMERICANA LIBRERÍA Y PAPELERÍA S.A.</t>
  </si>
  <si>
    <t>PANIFICADORA KM5 S.A.S.</t>
  </si>
  <si>
    <t>PAPELERIA Y VARIEDADES LAS HELICONIAS</t>
  </si>
  <si>
    <t>PCC PROCESADORA COLOMBIANA DE CARNES SAS</t>
  </si>
  <si>
    <t>PHOENIX OF USA S.A.S</t>
  </si>
  <si>
    <t>PINEDA ARISTIZABAL JORGE ARTURO</t>
  </si>
  <si>
    <t>PINO GUERRERO JUAN SEBASTIAN</t>
  </si>
  <si>
    <t>PLASTICOLJR SAS</t>
  </si>
  <si>
    <t>PRICESMART COLOMBIA S.A.S.</t>
  </si>
  <si>
    <t>PROCESADORA DE ALIMENTOS FRUGACOL SAS</t>
  </si>
  <si>
    <t>PRODUCTORA Y COMERCIALIZADORA INDUBOLSAS SAS</t>
  </si>
  <si>
    <t>PRODUCTOS ALIMENTICIOS SANTILLANA SAS</t>
  </si>
  <si>
    <t>PRODUCTOS NATURALES DE LA SABANA S.A.S. BIC</t>
  </si>
  <si>
    <t>PROSEGUR VIGILANCIA Y SEGURIDAD PRIVADA LTDA</t>
  </si>
  <si>
    <t>PROVEER INSTITUCIONAL S.A.S.</t>
  </si>
  <si>
    <t>PUERTO BAHIA SEAFOOD SAS</t>
  </si>
  <si>
    <t>QUESERA GRANADA ARMENIA SAS</t>
  </si>
  <si>
    <t>RAMIREZ JARAMILLO JAVIER ALBERTO</t>
  </si>
  <si>
    <t>RAMIREZ PUGLIESSE JAZMIN</t>
  </si>
  <si>
    <t>RIVERA GUARIN JAIRO ANDRES</t>
  </si>
  <si>
    <t>RODAS SANCHEZ YEISON FERNANDO</t>
  </si>
  <si>
    <t>RUBEN DARIO CASTAÑO LOPEZ</t>
  </si>
  <si>
    <t>SALAZAR VELASQUEZ JUAN PABLO</t>
  </si>
  <si>
    <t>SANEAMIENTO AMBIENTAL FUMISERV JS S.A.S.</t>
  </si>
  <si>
    <t>SANIOX HIGIENE AMBIENTAL S.A.S</t>
  </si>
  <si>
    <t>SIGRA S.A.S</t>
  </si>
  <si>
    <t>SOCIEDAD COMERCIAL LA BUGUEÑA S A</t>
  </si>
  <si>
    <t>SODIMAC COLOMBIA S.A.</t>
  </si>
  <si>
    <t>SU PEDIDO S.A.S</t>
  </si>
  <si>
    <t>SUPERMERCADO CARNES Y GRANOS SAS</t>
  </si>
  <si>
    <t>SUPERMERCADO MIO S.A.S.</t>
  </si>
  <si>
    <t>SURAMERICA COMERCIAL S.A.S</t>
  </si>
  <si>
    <t>SYNERA S.A.S</t>
  </si>
  <si>
    <t>T.M.S.A.</t>
  </si>
  <si>
    <t>TAMAYO RESTREPO JULIO CESAR</t>
  </si>
  <si>
    <t>TECNAS S.A. BIC.</t>
  </si>
  <si>
    <t>TECNOHIGIENE DE COLOMBIA SAS</t>
  </si>
  <si>
    <t>TECNOLINE COLOMBIA S.A.S</t>
  </si>
  <si>
    <t>TECNOLOGIA Y SERVICIO.NET SAS</t>
  </si>
  <si>
    <t>TEXTURELE S.A.S.</t>
  </si>
  <si>
    <t>TOTAL ASEO S.A.S.</t>
  </si>
  <si>
    <t>T-VAPAN 500 S.A.S</t>
  </si>
  <si>
    <t>VJ LACTICAMPO SAS</t>
  </si>
  <si>
    <t>WILCHES S.A.S</t>
  </si>
  <si>
    <t>YENNI NATALIA QUINTERO RODRIGUEZ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</si>
</sst>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176" formatCode="_-* #,##0.00_-;\-* #,##0.00_-;_-* &quot;-&quot;??_-;_-@_-"/>
    <numFmt numFmtId="177" formatCode="_-&quot;$&quot;\ * #,##0.00_-;\-&quot;$&quot;\ * #,##0.00_-;_-&quot;$&quot;\ * &quot;-&quot;??_-;_-@_-"/>
    <numFmt numFmtId="178" formatCode="_ * #,##0_ ;_ * \-#,##0_ ;_ * &quot;-&quot;_ ;_ @_ "/>
    <numFmt numFmtId="179" formatCode="_-* #,##0_-;\-* #,##0_-;_-* &quot;-&quot;??_-;_-@_-"/>
    <numFmt numFmtId="180" formatCode="_-&quot;$&quot;\ * #,##0_-;\-&quot;$&quot;\ * #,##0_-;_-&quot;$&quot;\ * &quot;-&quot;??_-;_-@_-"/>
    <numFmt numFmtId="181" formatCode="[$-F800]dddd\,\ mmmm\ dd\,\ yyyy"/>
  </numFmts>
  <fonts count="28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Calibri"/>
      <charset val="134"/>
    </font>
    <font>
      <b/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5" borderId="4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8" applyNumberFormat="0" applyFill="0" applyAlignment="0" applyProtection="0">
      <alignment vertical="center"/>
    </xf>
    <xf numFmtId="0" fontId="15" fillId="0" borderId="48" applyNumberFormat="0" applyFill="0" applyAlignment="0" applyProtection="0">
      <alignment vertical="center"/>
    </xf>
    <xf numFmtId="0" fontId="16" fillId="0" borderId="4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50" applyNumberFormat="0" applyAlignment="0" applyProtection="0">
      <alignment vertical="center"/>
    </xf>
    <xf numFmtId="0" fontId="18" fillId="17" borderId="51" applyNumberFormat="0" applyAlignment="0" applyProtection="0">
      <alignment vertical="center"/>
    </xf>
    <xf numFmtId="0" fontId="19" fillId="17" borderId="50" applyNumberFormat="0" applyAlignment="0" applyProtection="0">
      <alignment vertical="center"/>
    </xf>
    <xf numFmtId="0" fontId="20" fillId="18" borderId="52" applyNumberFormat="0" applyAlignment="0" applyProtection="0">
      <alignment vertical="center"/>
    </xf>
    <xf numFmtId="0" fontId="21" fillId="0" borderId="53" applyNumberFormat="0" applyFill="0" applyAlignment="0" applyProtection="0">
      <alignment vertical="center"/>
    </xf>
    <xf numFmtId="0" fontId="22" fillId="0" borderId="54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/>
  </cellStyleXfs>
  <cellXfs count="262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Protection="1">
      <protection locked="0"/>
    </xf>
    <xf numFmtId="179" fontId="1" fillId="0" borderId="1" xfId="1" applyNumberFormat="1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79" fontId="2" fillId="2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79" fontId="3" fillId="0" borderId="1" xfId="1" applyNumberFormat="1" applyFont="1" applyFill="1" applyBorder="1" applyProtection="1">
      <protection locked="0"/>
    </xf>
    <xf numFmtId="180" fontId="0" fillId="0" borderId="0" xfId="2" applyNumberFormat="1" applyFont="1" applyAlignment="1" applyProtection="1">
      <alignment vertical="center"/>
      <protection locked="0"/>
    </xf>
    <xf numFmtId="58" fontId="0" fillId="0" borderId="1" xfId="0" applyNumberFormat="1" applyBorder="1" applyAlignment="1">
      <alignment vertical="center"/>
    </xf>
    <xf numFmtId="179" fontId="0" fillId="0" borderId="1" xfId="1" applyNumberFormat="1" applyFont="1" applyBorder="1" applyAlignment="1" applyProtection="1">
      <alignment vertical="center"/>
      <protection locked="0"/>
    </xf>
    <xf numFmtId="0" fontId="0" fillId="0" borderId="1" xfId="0" applyFont="1" applyBorder="1" applyAlignment="1" applyProtection="1">
      <alignment vertical="center"/>
      <protection locked="0"/>
    </xf>
    <xf numFmtId="180" fontId="0" fillId="0" borderId="1" xfId="2" applyNumberFormat="1" applyFont="1" applyBorder="1" applyAlignment="1" applyProtection="1">
      <alignment vertical="center"/>
      <protection locked="0"/>
    </xf>
    <xf numFmtId="177" fontId="0" fillId="0" borderId="1" xfId="2" applyFont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0" fontId="0" fillId="0" borderId="0" xfId="3" applyNumberFormat="1" applyFont="1" applyBorder="1" applyAlignment="1" applyProtection="1">
      <alignment horizontal="center" vertical="center"/>
      <protection locked="0"/>
    </xf>
    <xf numFmtId="58" fontId="0" fillId="2" borderId="1" xfId="0" applyNumberFormat="1" applyFill="1" applyBorder="1" applyAlignment="1">
      <alignment vertical="center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3" borderId="1" xfId="0" applyFont="1" applyFill="1" applyBorder="1" applyAlignment="1">
      <alignment horizontal="center" vertical="center"/>
    </xf>
    <xf numFmtId="180" fontId="2" fillId="3" borderId="1" xfId="2" applyNumberFormat="1" applyFont="1" applyFill="1" applyBorder="1" applyAlignment="1" applyProtection="1">
      <alignment horizontal="center" vertical="center"/>
    </xf>
    <xf numFmtId="58" fontId="2" fillId="2" borderId="1" xfId="1" applyNumberFormat="1" applyFont="1" applyFill="1" applyBorder="1" applyAlignment="1" applyProtection="1">
      <alignment horizontal="center" vertical="center"/>
    </xf>
    <xf numFmtId="179" fontId="2" fillId="2" borderId="1" xfId="1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 applyProtection="1">
      <alignment horizontal="right" vertical="center"/>
      <protection locked="0"/>
    </xf>
    <xf numFmtId="180" fontId="0" fillId="0" borderId="1" xfId="2" applyNumberFormat="1" applyFont="1" applyBorder="1" applyAlignment="1" applyProtection="1">
      <alignment vertical="center"/>
    </xf>
    <xf numFmtId="10" fontId="0" fillId="0" borderId="1" xfId="3" applyNumberFormat="1" applyFont="1" applyBorder="1" applyAlignment="1" applyProtection="1">
      <alignment horizontal="center" vertical="center"/>
      <protection locked="0"/>
    </xf>
    <xf numFmtId="58" fontId="0" fillId="0" borderId="1" xfId="1" applyNumberFormat="1" applyFont="1" applyBorder="1" applyAlignment="1" applyProtection="1">
      <alignment vertical="center"/>
      <protection locked="0"/>
    </xf>
    <xf numFmtId="0" fontId="2" fillId="3" borderId="2" xfId="0" applyFont="1" applyFill="1" applyBorder="1" applyAlignment="1">
      <alignment horizontal="right" vertical="center"/>
    </xf>
    <xf numFmtId="180" fontId="2" fillId="3" borderId="2" xfId="2" applyNumberFormat="1" applyFont="1" applyFill="1" applyBorder="1" applyAlignment="1" applyProtection="1">
      <alignment vertical="center"/>
    </xf>
    <xf numFmtId="10" fontId="2" fillId="3" borderId="1" xfId="3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right" vertical="center"/>
    </xf>
    <xf numFmtId="180" fontId="2" fillId="0" borderId="1" xfId="2" applyNumberFormat="1" applyFont="1" applyBorder="1" applyAlignment="1" applyProtection="1">
      <alignment vertical="center"/>
    </xf>
    <xf numFmtId="181" fontId="2" fillId="2" borderId="1" xfId="0" applyNumberFormat="1" applyFont="1" applyFill="1" applyBorder="1" applyAlignment="1">
      <alignment vertical="center"/>
    </xf>
    <xf numFmtId="180" fontId="2" fillId="2" borderId="1" xfId="2" applyNumberFormat="1" applyFont="1" applyFill="1" applyBorder="1" applyAlignment="1">
      <alignment vertical="center"/>
    </xf>
    <xf numFmtId="58" fontId="0" fillId="4" borderId="1" xfId="0" applyNumberFormat="1" applyFill="1" applyBorder="1" applyAlignment="1">
      <alignment vertical="center"/>
    </xf>
    <xf numFmtId="0" fontId="2" fillId="4" borderId="1" xfId="1" applyNumberFormat="1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 applyProtection="1">
      <alignment vertical="center"/>
      <protection locked="0"/>
    </xf>
    <xf numFmtId="180" fontId="2" fillId="2" borderId="1" xfId="2" applyNumberFormat="1" applyFont="1" applyFill="1" applyBorder="1" applyAlignment="1" applyProtection="1">
      <alignment horizontal="center" vertical="center"/>
    </xf>
    <xf numFmtId="58" fontId="2" fillId="4" borderId="1" xfId="1" applyNumberFormat="1" applyFont="1" applyFill="1" applyBorder="1" applyAlignment="1" applyProtection="1">
      <alignment horizontal="center" vertical="center"/>
    </xf>
    <xf numFmtId="179" fontId="2" fillId="4" borderId="1" xfId="1" applyNumberFormat="1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81" fontId="2" fillId="4" borderId="1" xfId="0" applyNumberFormat="1" applyFont="1" applyFill="1" applyBorder="1" applyAlignment="1">
      <alignment vertical="center"/>
    </xf>
    <xf numFmtId="180" fontId="2" fillId="4" borderId="1" xfId="2" applyNumberFormat="1" applyFont="1" applyFill="1" applyBorder="1" applyAlignment="1">
      <alignment vertical="center"/>
    </xf>
    <xf numFmtId="58" fontId="0" fillId="5" borderId="1" xfId="0" applyNumberFormat="1" applyFill="1" applyBorder="1" applyAlignment="1">
      <alignment vertical="center"/>
    </xf>
    <xf numFmtId="0" fontId="2" fillId="5" borderId="1" xfId="1" applyNumberFormat="1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 applyProtection="1">
      <alignment vertical="center"/>
      <protection locked="0"/>
    </xf>
    <xf numFmtId="181" fontId="2" fillId="5" borderId="1" xfId="0" applyNumberFormat="1" applyFont="1" applyFill="1" applyBorder="1" applyAlignment="1">
      <alignment vertical="center"/>
    </xf>
    <xf numFmtId="180" fontId="2" fillId="4" borderId="1" xfId="2" applyNumberFormat="1" applyFont="1" applyFill="1" applyBorder="1" applyAlignment="1" applyProtection="1">
      <alignment horizontal="center" vertical="center"/>
    </xf>
    <xf numFmtId="58" fontId="2" fillId="5" borderId="1" xfId="1" applyNumberFormat="1" applyFont="1" applyFill="1" applyBorder="1" applyAlignment="1" applyProtection="1">
      <alignment horizontal="center" vertical="center"/>
    </xf>
    <xf numFmtId="179" fontId="2" fillId="5" borderId="1" xfId="1" applyNumberFormat="1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58" fontId="0" fillId="0" borderId="2" xfId="1" applyNumberFormat="1" applyFont="1" applyBorder="1" applyAlignment="1" applyProtection="1">
      <alignment vertical="center"/>
      <protection locked="0"/>
    </xf>
    <xf numFmtId="179" fontId="0" fillId="0" borderId="2" xfId="1" applyNumberFormat="1" applyFont="1" applyBorder="1" applyAlignment="1" applyProtection="1">
      <alignment vertical="center"/>
      <protection locked="0"/>
    </xf>
    <xf numFmtId="180" fontId="2" fillId="5" borderId="1" xfId="2" applyNumberFormat="1" applyFont="1" applyFill="1" applyBorder="1" applyAlignment="1">
      <alignment vertical="center"/>
    </xf>
    <xf numFmtId="177" fontId="2" fillId="4" borderId="1" xfId="2" applyFont="1" applyFill="1" applyBorder="1" applyAlignment="1">
      <alignment vertical="center"/>
    </xf>
    <xf numFmtId="180" fontId="2" fillId="5" borderId="1" xfId="2" applyNumberFormat="1" applyFont="1" applyFill="1" applyBorder="1" applyAlignment="1" applyProtection="1">
      <alignment horizontal="center" vertical="center"/>
    </xf>
    <xf numFmtId="177" fontId="2" fillId="4" borderId="1" xfId="2" applyFont="1" applyFill="1" applyBorder="1" applyAlignment="1" applyProtection="1">
      <alignment horizontal="center" vertical="center"/>
    </xf>
    <xf numFmtId="180" fontId="0" fillId="0" borderId="2" xfId="2" applyNumberFormat="1" applyFont="1" applyBorder="1" applyAlignment="1" applyProtection="1">
      <alignment vertical="center"/>
      <protection locked="0"/>
    </xf>
    <xf numFmtId="177" fontId="0" fillId="0" borderId="2" xfId="2" applyFont="1" applyBorder="1" applyAlignment="1" applyProtection="1">
      <alignment vertical="center"/>
      <protection locked="0"/>
    </xf>
    <xf numFmtId="0" fontId="2" fillId="2" borderId="1" xfId="0" applyFont="1" applyFill="1" applyBorder="1" applyAlignment="1">
      <alignment horizontal="right" vertical="center"/>
    </xf>
    <xf numFmtId="180" fontId="2" fillId="2" borderId="1" xfId="2" applyNumberFormat="1" applyFont="1" applyFill="1" applyBorder="1" applyAlignment="1" applyProtection="1">
      <alignment vertical="center"/>
    </xf>
    <xf numFmtId="0" fontId="2" fillId="4" borderId="1" xfId="0" applyFont="1" applyFill="1" applyBorder="1" applyAlignment="1">
      <alignment horizontal="right" vertical="center"/>
    </xf>
    <xf numFmtId="180" fontId="2" fillId="4" borderId="1" xfId="2" applyNumberFormat="1" applyFont="1" applyFill="1" applyBorder="1" applyAlignment="1" applyProtection="1">
      <alignment vertical="center"/>
    </xf>
    <xf numFmtId="0" fontId="2" fillId="5" borderId="1" xfId="0" applyFont="1" applyFill="1" applyBorder="1" applyAlignment="1">
      <alignment horizontal="right" vertical="center"/>
    </xf>
    <xf numFmtId="180" fontId="2" fillId="5" borderId="1" xfId="2" applyNumberFormat="1" applyFont="1" applyFill="1" applyBorder="1" applyAlignment="1" applyProtection="1">
      <alignment vertical="center"/>
    </xf>
    <xf numFmtId="0" fontId="2" fillId="6" borderId="1" xfId="0" applyFont="1" applyFill="1" applyBorder="1" applyAlignment="1">
      <alignment horizontal="right" vertical="center"/>
    </xf>
    <xf numFmtId="180" fontId="2" fillId="6" borderId="1" xfId="2" applyNumberFormat="1" applyFont="1" applyFill="1" applyBorder="1" applyAlignment="1" applyProtection="1">
      <alignment vertical="center"/>
    </xf>
    <xf numFmtId="10" fontId="0" fillId="0" borderId="0" xfId="3" applyNumberFormat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80" fontId="0" fillId="0" borderId="1" xfId="2" applyNumberFormat="1" applyFont="1" applyFill="1" applyBorder="1" applyAlignment="1" applyProtection="1">
      <alignment vertical="center"/>
    </xf>
    <xf numFmtId="10" fontId="0" fillId="0" borderId="1" xfId="3" applyNumberFormat="1" applyFont="1" applyFill="1" applyBorder="1" applyAlignment="1" applyProtection="1">
      <alignment horizontal="center" vertical="center"/>
    </xf>
    <xf numFmtId="10" fontId="2" fillId="2" borderId="1" xfId="3" applyNumberFormat="1" applyFont="1" applyFill="1" applyBorder="1" applyAlignment="1" applyProtection="1">
      <alignment horizontal="center" vertical="center"/>
    </xf>
    <xf numFmtId="0" fontId="2" fillId="7" borderId="1" xfId="0" applyFont="1" applyFill="1" applyBorder="1" applyAlignment="1">
      <alignment horizontal="right" vertical="center"/>
    </xf>
    <xf numFmtId="180" fontId="2" fillId="7" borderId="1" xfId="2" applyNumberFormat="1" applyFont="1" applyFill="1" applyBorder="1" applyAlignment="1" applyProtection="1">
      <alignment vertical="center"/>
    </xf>
    <xf numFmtId="10" fontId="2" fillId="7" borderId="1" xfId="3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180" fontId="2" fillId="0" borderId="1" xfId="2" applyNumberFormat="1" applyFont="1" applyBorder="1" applyAlignment="1" applyProtection="1">
      <alignment horizontal="center" vertical="center"/>
      <protection locked="0"/>
    </xf>
    <xf numFmtId="177" fontId="0" fillId="0" borderId="0" xfId="2" applyFont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7" fontId="0" fillId="0" borderId="0" xfId="2" applyFont="1" applyProtection="1">
      <protection locked="0"/>
    </xf>
    <xf numFmtId="10" fontId="0" fillId="0" borderId="0" xfId="3" applyNumberFormat="1" applyFont="1" applyAlignment="1" applyProtection="1">
      <alignment horizontal="center" vertical="center"/>
      <protection locked="0"/>
    </xf>
    <xf numFmtId="177" fontId="0" fillId="0" borderId="0" xfId="2" applyFont="1" applyAlignment="1" applyProtection="1">
      <alignment horizontal="center" vertical="center"/>
      <protection locked="0"/>
    </xf>
    <xf numFmtId="0" fontId="2" fillId="2" borderId="6" xfId="0" applyFont="1" applyFill="1" applyBorder="1" applyAlignment="1">
      <alignment horizontal="center" vertical="center"/>
    </xf>
    <xf numFmtId="177" fontId="2" fillId="2" borderId="1" xfId="2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0" fontId="0" fillId="0" borderId="1" xfId="3" applyNumberFormat="1" applyFont="1" applyBorder="1" applyAlignment="1" applyProtection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0" fontId="2" fillId="5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80" fontId="0" fillId="2" borderId="1" xfId="2" applyNumberFormat="1" applyFont="1" applyFill="1" applyBorder="1" applyAlignment="1" applyProtection="1">
      <alignment horizontal="center" vertical="center"/>
      <protection locked="0"/>
    </xf>
    <xf numFmtId="10" fontId="2" fillId="0" borderId="1" xfId="3" applyNumberFormat="1" applyFont="1" applyBorder="1" applyAlignment="1" applyProtection="1">
      <alignment horizontal="center" vertical="center"/>
    </xf>
    <xf numFmtId="10" fontId="0" fillId="2" borderId="1" xfId="3" applyNumberFormat="1" applyFont="1" applyFill="1" applyBorder="1" applyAlignment="1" applyProtection="1">
      <alignment horizontal="center" vertical="center"/>
      <protection locked="0"/>
    </xf>
    <xf numFmtId="179" fontId="0" fillId="0" borderId="0" xfId="1" applyNumberFormat="1" applyFont="1" applyBorder="1" applyAlignment="1" applyProtection="1">
      <alignment vertical="center"/>
      <protection locked="0"/>
    </xf>
    <xf numFmtId="0" fontId="0" fillId="0" borderId="0" xfId="0" applyFont="1" applyAlignment="1" applyProtection="1">
      <alignment vertical="center"/>
      <protection locked="0"/>
    </xf>
    <xf numFmtId="180" fontId="0" fillId="0" borderId="0" xfId="2" applyNumberFormat="1" applyFont="1" applyBorder="1" applyAlignment="1" applyProtection="1">
      <alignment vertical="center"/>
      <protection locked="0"/>
    </xf>
    <xf numFmtId="0" fontId="2" fillId="2" borderId="7" xfId="1" applyNumberFormat="1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81" fontId="2" fillId="2" borderId="10" xfId="0" applyNumberFormat="1" applyFont="1" applyFill="1" applyBorder="1" applyAlignment="1">
      <alignment horizontal="center" vertical="center"/>
    </xf>
    <xf numFmtId="181" fontId="2" fillId="2" borderId="11" xfId="0" applyNumberFormat="1" applyFont="1" applyFill="1" applyBorder="1" applyAlignment="1">
      <alignment horizontal="center" vertical="center"/>
    </xf>
    <xf numFmtId="180" fontId="2" fillId="8" borderId="8" xfId="2" applyNumberFormat="1" applyFont="1" applyFill="1" applyBorder="1" applyAlignment="1" applyProtection="1">
      <alignment horizontal="center" vertical="center"/>
    </xf>
    <xf numFmtId="180" fontId="2" fillId="8" borderId="12" xfId="2" applyNumberFormat="1" applyFont="1" applyFill="1" applyBorder="1" applyAlignment="1" applyProtection="1">
      <alignment horizontal="center" vertical="center"/>
    </xf>
    <xf numFmtId="179" fontId="2" fillId="2" borderId="13" xfId="1" applyNumberFormat="1" applyFont="1" applyFill="1" applyBorder="1" applyAlignment="1" applyProtection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80" fontId="2" fillId="2" borderId="15" xfId="2" applyNumberFormat="1" applyFont="1" applyFill="1" applyBorder="1" applyAlignment="1" applyProtection="1">
      <alignment horizontal="center" vertical="center"/>
    </xf>
    <xf numFmtId="180" fontId="2" fillId="0" borderId="0" xfId="2" applyNumberFormat="1" applyFont="1" applyBorder="1" applyAlignment="1" applyProtection="1">
      <alignment horizontal="center" vertical="center"/>
      <protection locked="0"/>
    </xf>
    <xf numFmtId="180" fontId="0" fillId="0" borderId="16" xfId="2" applyNumberFormat="1" applyFont="1" applyFill="1" applyBorder="1" applyAlignment="1" applyProtection="1">
      <alignment horizontal="right" vertical="center"/>
    </xf>
    <xf numFmtId="180" fontId="0" fillId="0" borderId="17" xfId="2" applyNumberFormat="1" applyFont="1" applyFill="1" applyBorder="1" applyAlignment="1" applyProtection="1">
      <alignment vertical="center"/>
      <protection locked="0"/>
    </xf>
    <xf numFmtId="179" fontId="0" fillId="0" borderId="16" xfId="1" applyNumberFormat="1" applyFont="1" applyBorder="1" applyAlignment="1" applyProtection="1">
      <alignment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vertical="center"/>
      <protection locked="0"/>
    </xf>
    <xf numFmtId="180" fontId="0" fillId="0" borderId="17" xfId="2" applyNumberFormat="1" applyFont="1" applyBorder="1" applyAlignment="1" applyProtection="1">
      <alignment vertical="center"/>
      <protection locked="0"/>
    </xf>
    <xf numFmtId="180" fontId="0" fillId="0" borderId="19" xfId="2" applyNumberFormat="1" applyFont="1" applyFill="1" applyBorder="1" applyAlignment="1" applyProtection="1">
      <alignment horizontal="right" vertical="center"/>
    </xf>
    <xf numFmtId="180" fontId="0" fillId="0" borderId="20" xfId="2" applyNumberFormat="1" applyFont="1" applyFill="1" applyBorder="1" applyAlignment="1" applyProtection="1">
      <alignment vertical="center"/>
      <protection locked="0"/>
    </xf>
    <xf numFmtId="179" fontId="0" fillId="0" borderId="21" xfId="1" applyNumberFormat="1" applyFont="1" applyBorder="1" applyAlignment="1" applyProtection="1">
      <alignment vertical="center"/>
    </xf>
    <xf numFmtId="180" fontId="0" fillId="0" borderId="22" xfId="2" applyNumberFormat="1" applyFont="1" applyBorder="1" applyAlignment="1" applyProtection="1">
      <alignment vertical="center"/>
      <protection locked="0"/>
    </xf>
    <xf numFmtId="180" fontId="0" fillId="0" borderId="23" xfId="2" applyNumberFormat="1" applyFont="1" applyFill="1" applyBorder="1" applyAlignment="1" applyProtection="1">
      <alignment horizontal="right" vertical="center"/>
    </xf>
    <xf numFmtId="180" fontId="0" fillId="0" borderId="24" xfId="2" applyNumberFormat="1" applyFont="1" applyFill="1" applyBorder="1" applyAlignment="1" applyProtection="1">
      <alignment vertical="center"/>
      <protection locked="0"/>
    </xf>
    <xf numFmtId="180" fontId="0" fillId="0" borderId="21" xfId="2" applyNumberFormat="1" applyFont="1" applyFill="1" applyBorder="1" applyAlignment="1" applyProtection="1">
      <alignment horizontal="right" vertical="center"/>
    </xf>
    <xf numFmtId="180" fontId="0" fillId="0" borderId="22" xfId="2" applyNumberFormat="1" applyFont="1" applyFill="1" applyBorder="1" applyAlignment="1" applyProtection="1">
      <alignment vertical="center"/>
      <protection locked="0"/>
    </xf>
    <xf numFmtId="180" fontId="0" fillId="0" borderId="25" xfId="2" applyNumberFormat="1" applyFont="1" applyFill="1" applyBorder="1" applyAlignment="1" applyProtection="1">
      <alignment horizontal="right" vertical="center"/>
    </xf>
    <xf numFmtId="180" fontId="0" fillId="0" borderId="26" xfId="2" applyNumberFormat="1" applyFont="1" applyFill="1" applyBorder="1" applyAlignment="1" applyProtection="1">
      <alignment vertical="center"/>
      <protection locked="0"/>
    </xf>
    <xf numFmtId="180" fontId="2" fillId="8" borderId="13" xfId="2" applyNumberFormat="1" applyFont="1" applyFill="1" applyBorder="1" applyAlignment="1" applyProtection="1">
      <alignment horizontal="right" vertical="center"/>
    </xf>
    <xf numFmtId="180" fontId="2" fillId="8" borderId="15" xfId="2" applyNumberFormat="1" applyFont="1" applyFill="1" applyBorder="1" applyAlignment="1" applyProtection="1">
      <alignment vertical="center"/>
    </xf>
    <xf numFmtId="180" fontId="2" fillId="9" borderId="8" xfId="2" applyNumberFormat="1" applyFont="1" applyFill="1" applyBorder="1" applyAlignment="1" applyProtection="1">
      <alignment horizontal="right" vertical="center"/>
    </xf>
    <xf numFmtId="180" fontId="2" fillId="9" borderId="9" xfId="2" applyNumberFormat="1" applyFont="1" applyFill="1" applyBorder="1" applyAlignment="1" applyProtection="1">
      <alignment vertical="center"/>
    </xf>
    <xf numFmtId="180" fontId="2" fillId="2" borderId="13" xfId="2" applyNumberFormat="1" applyFont="1" applyFill="1" applyBorder="1" applyAlignment="1" applyProtection="1">
      <alignment horizontal="right" vertical="center"/>
    </xf>
    <xf numFmtId="180" fontId="2" fillId="2" borderId="15" xfId="2" applyNumberFormat="1" applyFont="1" applyFill="1" applyBorder="1" applyAlignment="1" applyProtection="1">
      <alignment vertical="center"/>
      <protection locked="0"/>
    </xf>
    <xf numFmtId="0" fontId="0" fillId="0" borderId="6" xfId="0" applyFont="1" applyBorder="1" applyAlignment="1" applyProtection="1">
      <alignment horizontal="center" vertical="center"/>
      <protection locked="0"/>
    </xf>
    <xf numFmtId="0" fontId="0" fillId="0" borderId="6" xfId="0" applyFont="1" applyBorder="1" applyAlignment="1" applyProtection="1">
      <alignment vertical="center"/>
      <protection locked="0"/>
    </xf>
    <xf numFmtId="180" fontId="0" fillId="0" borderId="26" xfId="2" applyNumberFormat="1" applyFont="1" applyBorder="1" applyAlignment="1" applyProtection="1">
      <alignment vertical="center"/>
      <protection locked="0"/>
    </xf>
    <xf numFmtId="0" fontId="0" fillId="10" borderId="27" xfId="0" applyFont="1" applyFill="1" applyBorder="1" applyAlignment="1">
      <alignment horizontal="right" vertical="center"/>
    </xf>
    <xf numFmtId="0" fontId="0" fillId="10" borderId="28" xfId="0" applyFont="1" applyFill="1" applyBorder="1" applyAlignment="1">
      <alignment horizontal="right" vertical="center"/>
    </xf>
    <xf numFmtId="180" fontId="0" fillId="10" borderId="17" xfId="2" applyNumberFormat="1" applyFont="1" applyFill="1" applyBorder="1" applyAlignment="1" applyProtection="1">
      <alignment vertical="center"/>
    </xf>
    <xf numFmtId="180" fontId="2" fillId="11" borderId="29" xfId="2" applyNumberFormat="1" applyFont="1" applyFill="1" applyBorder="1" applyAlignment="1" applyProtection="1">
      <alignment horizontal="center" vertical="center" wrapText="1"/>
    </xf>
    <xf numFmtId="180" fontId="2" fillId="11" borderId="30" xfId="2" applyNumberFormat="1" applyFont="1" applyFill="1" applyBorder="1" applyAlignment="1" applyProtection="1">
      <alignment horizontal="center" vertical="center" wrapText="1"/>
    </xf>
    <xf numFmtId="0" fontId="0" fillId="10" borderId="31" xfId="0" applyFont="1" applyFill="1" applyBorder="1" applyAlignment="1">
      <alignment horizontal="right" vertical="center"/>
    </xf>
    <xf numFmtId="0" fontId="0" fillId="10" borderId="5" xfId="0" applyFont="1" applyFill="1" applyBorder="1" applyAlignment="1">
      <alignment horizontal="right" vertical="center"/>
    </xf>
    <xf numFmtId="180" fontId="0" fillId="10" borderId="22" xfId="2" applyNumberFormat="1" applyFont="1" applyFill="1" applyBorder="1" applyAlignment="1" applyProtection="1">
      <alignment vertical="center"/>
    </xf>
    <xf numFmtId="0" fontId="0" fillId="10" borderId="32" xfId="0" applyFont="1" applyFill="1" applyBorder="1" applyAlignment="1">
      <alignment horizontal="right" vertical="center"/>
    </xf>
    <xf numFmtId="0" fontId="0" fillId="10" borderId="33" xfId="0" applyFont="1" applyFill="1" applyBorder="1" applyAlignment="1">
      <alignment horizontal="right" vertical="center"/>
    </xf>
    <xf numFmtId="180" fontId="0" fillId="10" borderId="24" xfId="2" applyNumberFormat="1" applyFont="1" applyFill="1" applyBorder="1" applyAlignment="1" applyProtection="1">
      <alignment vertical="center"/>
    </xf>
    <xf numFmtId="180" fontId="0" fillId="0" borderId="27" xfId="2" applyNumberFormat="1" applyFont="1" applyBorder="1" applyAlignment="1" applyProtection="1">
      <alignment horizontal="right" vertical="center" wrapText="1"/>
    </xf>
    <xf numFmtId="180" fontId="0" fillId="0" borderId="28" xfId="2" applyNumberFormat="1" applyFont="1" applyBorder="1" applyAlignment="1" applyProtection="1">
      <alignment horizontal="right" vertical="center" wrapText="1"/>
    </xf>
    <xf numFmtId="0" fontId="0" fillId="0" borderId="27" xfId="0" applyFont="1" applyBorder="1" applyAlignment="1">
      <alignment horizontal="right" vertical="center"/>
    </xf>
    <xf numFmtId="0" fontId="0" fillId="0" borderId="28" xfId="0" applyFont="1" applyBorder="1" applyAlignment="1">
      <alignment horizontal="right" vertical="center"/>
    </xf>
    <xf numFmtId="180" fontId="0" fillId="0" borderId="17" xfId="2" applyNumberFormat="1" applyFont="1" applyBorder="1" applyAlignment="1" applyProtection="1">
      <alignment vertical="center"/>
    </xf>
    <xf numFmtId="0" fontId="0" fillId="0" borderId="16" xfId="0" applyFont="1" applyBorder="1" applyAlignment="1">
      <alignment horizontal="right" vertical="center"/>
    </xf>
    <xf numFmtId="180" fontId="0" fillId="0" borderId="34" xfId="2" applyNumberFormat="1" applyFont="1" applyBorder="1" applyAlignment="1" applyProtection="1">
      <alignment horizontal="right" vertical="center" wrapText="1"/>
    </xf>
    <xf numFmtId="180" fontId="0" fillId="0" borderId="35" xfId="2" applyNumberFormat="1" applyFont="1" applyBorder="1" applyAlignment="1" applyProtection="1">
      <alignment horizontal="right" vertical="center" wrapText="1"/>
    </xf>
    <xf numFmtId="0" fontId="0" fillId="0" borderId="34" xfId="0" applyFont="1" applyBorder="1" applyAlignment="1">
      <alignment horizontal="right" vertical="center"/>
    </xf>
    <xf numFmtId="0" fontId="0" fillId="0" borderId="35" xfId="0" applyFont="1" applyBorder="1" applyAlignment="1">
      <alignment horizontal="right" vertical="center"/>
    </xf>
    <xf numFmtId="180" fontId="0" fillId="0" borderId="22" xfId="2" applyNumberFormat="1" applyFont="1" applyBorder="1" applyAlignment="1" applyProtection="1">
      <alignment vertical="center"/>
    </xf>
    <xf numFmtId="0" fontId="0" fillId="0" borderId="25" xfId="0" applyFont="1" applyBorder="1" applyAlignment="1">
      <alignment horizontal="right" vertical="center"/>
    </xf>
    <xf numFmtId="180" fontId="0" fillId="0" borderId="26" xfId="2" applyNumberFormat="1" applyFont="1" applyBorder="1" applyAlignment="1" applyProtection="1">
      <alignment vertical="center"/>
    </xf>
    <xf numFmtId="180" fontId="2" fillId="2" borderId="29" xfId="2" applyNumberFormat="1" applyFont="1" applyFill="1" applyBorder="1" applyAlignment="1" applyProtection="1">
      <alignment horizontal="right" vertical="center" wrapText="1"/>
    </xf>
    <xf numFmtId="180" fontId="2" fillId="2" borderId="30" xfId="2" applyNumberFormat="1" applyFont="1" applyFill="1" applyBorder="1" applyAlignment="1" applyProtection="1">
      <alignment horizontal="right" vertical="center" wrapText="1"/>
    </xf>
    <xf numFmtId="0" fontId="0" fillId="0" borderId="21" xfId="0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2" fillId="5" borderId="13" xfId="0" applyFont="1" applyFill="1" applyBorder="1" applyAlignment="1">
      <alignment horizontal="right" vertical="center"/>
    </xf>
    <xf numFmtId="180" fontId="2" fillId="5" borderId="15" xfId="2" applyNumberFormat="1" applyFont="1" applyFill="1" applyBorder="1" applyAlignment="1" applyProtection="1">
      <alignment vertical="center"/>
    </xf>
    <xf numFmtId="180" fontId="2" fillId="9" borderId="29" xfId="2" applyNumberFormat="1" applyFont="1" applyFill="1" applyBorder="1" applyAlignment="1" applyProtection="1">
      <alignment horizontal="right" vertical="center" wrapText="1"/>
    </xf>
    <xf numFmtId="180" fontId="2" fillId="9" borderId="30" xfId="2" applyNumberFormat="1" applyFont="1" applyFill="1" applyBorder="1" applyAlignment="1" applyProtection="1">
      <alignment horizontal="right" vertical="center" wrapText="1"/>
    </xf>
    <xf numFmtId="0" fontId="0" fillId="0" borderId="36" xfId="0" applyFont="1" applyBorder="1" applyAlignment="1">
      <alignment horizontal="right" vertical="center"/>
    </xf>
    <xf numFmtId="0" fontId="0" fillId="0" borderId="37" xfId="0" applyFont="1" applyBorder="1" applyAlignment="1">
      <alignment horizontal="right" vertical="center"/>
    </xf>
    <xf numFmtId="0" fontId="2" fillId="4" borderId="13" xfId="0" applyFont="1" applyFill="1" applyBorder="1" applyAlignment="1">
      <alignment horizontal="right" vertical="center"/>
    </xf>
    <xf numFmtId="180" fontId="2" fillId="4" borderId="15" xfId="2" applyNumberFormat="1" applyFont="1" applyFill="1" applyBorder="1" applyAlignment="1" applyProtection="1">
      <alignment vertical="center"/>
    </xf>
    <xf numFmtId="180" fontId="2" fillId="4" borderId="23" xfId="2" applyNumberFormat="1" applyFont="1" applyFill="1" applyBorder="1" applyAlignment="1" applyProtection="1">
      <alignment horizontal="right" vertical="center" wrapText="1"/>
    </xf>
    <xf numFmtId="180" fontId="2" fillId="4" borderId="38" xfId="2" applyNumberFormat="1" applyFont="1" applyFill="1" applyBorder="1" applyAlignment="1" applyProtection="1">
      <alignment horizontal="right" vertical="center" wrapText="1"/>
    </xf>
    <xf numFmtId="0" fontId="2" fillId="2" borderId="29" xfId="0" applyFont="1" applyFill="1" applyBorder="1" applyAlignment="1">
      <alignment horizontal="right" vertical="center"/>
    </xf>
    <xf numFmtId="0" fontId="2" fillId="2" borderId="30" xfId="0" applyFont="1" applyFill="1" applyBorder="1" applyAlignment="1">
      <alignment horizontal="right" vertical="center"/>
    </xf>
    <xf numFmtId="180" fontId="2" fillId="2" borderId="15" xfId="2" applyNumberFormat="1" applyFont="1" applyFill="1" applyBorder="1" applyAlignment="1" applyProtection="1">
      <alignment vertical="center"/>
    </xf>
    <xf numFmtId="0" fontId="0" fillId="0" borderId="23" xfId="0" applyFont="1" applyBorder="1" applyAlignment="1">
      <alignment horizontal="right" vertical="center"/>
    </xf>
    <xf numFmtId="180" fontId="0" fillId="0" borderId="39" xfId="2" applyNumberFormat="1" applyFont="1" applyBorder="1" applyAlignment="1" applyProtection="1">
      <alignment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180" fontId="2" fillId="12" borderId="29" xfId="2" applyNumberFormat="1" applyFont="1" applyFill="1" applyBorder="1" applyAlignment="1" applyProtection="1">
      <alignment horizontal="center" vertical="center" wrapText="1"/>
    </xf>
    <xf numFmtId="180" fontId="2" fillId="12" borderId="41" xfId="2" applyNumberFormat="1" applyFont="1" applyFill="1" applyBorder="1" applyAlignment="1" applyProtection="1">
      <alignment horizontal="center" vertical="center" wrapText="1"/>
    </xf>
    <xf numFmtId="179" fontId="2" fillId="4" borderId="13" xfId="1" applyNumberFormat="1" applyFont="1" applyFill="1" applyBorder="1" applyAlignment="1" applyProtection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180" fontId="2" fillId="4" borderId="15" xfId="2" applyNumberFormat="1" applyFont="1" applyFill="1" applyBorder="1" applyAlignment="1" applyProtection="1">
      <alignment horizontal="center" vertical="center"/>
    </xf>
    <xf numFmtId="180" fontId="2" fillId="12" borderId="13" xfId="2" applyNumberFormat="1" applyFont="1" applyFill="1" applyBorder="1" applyAlignment="1" applyProtection="1">
      <alignment horizontal="center" vertical="center"/>
    </xf>
    <xf numFmtId="180" fontId="2" fillId="12" borderId="14" xfId="2" applyNumberFormat="1" applyFont="1" applyFill="1" applyBorder="1" applyAlignment="1" applyProtection="1">
      <alignment horizontal="center" vertical="center"/>
    </xf>
    <xf numFmtId="179" fontId="0" fillId="0" borderId="19" xfId="1" applyNumberFormat="1" applyFont="1" applyBorder="1" applyAlignment="1" applyProtection="1">
      <alignment vertical="center"/>
    </xf>
    <xf numFmtId="0" fontId="0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180" fontId="0" fillId="0" borderId="20" xfId="2" applyNumberFormat="1" applyFont="1" applyBorder="1" applyAlignment="1" applyProtection="1">
      <alignment vertical="center"/>
      <protection locked="0"/>
    </xf>
    <xf numFmtId="180" fontId="0" fillId="0" borderId="19" xfId="2" applyNumberFormat="1" applyFont="1" applyBorder="1" applyAlignment="1" applyProtection="1">
      <alignment horizontal="left" vertical="center"/>
    </xf>
    <xf numFmtId="176" fontId="0" fillId="0" borderId="2" xfId="1" applyFont="1" applyFill="1" applyBorder="1" applyAlignment="1" applyProtection="1">
      <alignment vertical="center"/>
      <protection locked="0"/>
    </xf>
    <xf numFmtId="180" fontId="0" fillId="0" borderId="21" xfId="2" applyNumberFormat="1" applyFont="1" applyBorder="1" applyAlignment="1" applyProtection="1">
      <alignment horizontal="left" vertical="center"/>
    </xf>
    <xf numFmtId="176" fontId="0" fillId="0" borderId="1" xfId="1" applyFont="1" applyFill="1" applyBorder="1" applyAlignment="1" applyProtection="1">
      <alignment vertical="center"/>
      <protection locked="0"/>
    </xf>
    <xf numFmtId="180" fontId="0" fillId="0" borderId="25" xfId="2" applyNumberFormat="1" applyFont="1" applyBorder="1" applyAlignment="1" applyProtection="1">
      <alignment horizontal="left" vertical="center"/>
    </xf>
    <xf numFmtId="176" fontId="0" fillId="0" borderId="6" xfId="1" applyFont="1" applyFill="1" applyBorder="1" applyAlignment="1" applyProtection="1">
      <alignment vertical="center"/>
      <protection locked="0"/>
    </xf>
    <xf numFmtId="180" fontId="2" fillId="13" borderId="29" xfId="2" applyNumberFormat="1" applyFont="1" applyFill="1" applyBorder="1" applyAlignment="1" applyProtection="1">
      <alignment horizontal="right" vertical="center" wrapText="1"/>
    </xf>
    <xf numFmtId="180" fontId="2" fillId="13" borderId="41" xfId="2" applyNumberFormat="1" applyFont="1" applyFill="1" applyBorder="1" applyAlignment="1" applyProtection="1">
      <alignment horizontal="right" vertical="center" wrapText="1"/>
    </xf>
    <xf numFmtId="180" fontId="2" fillId="0" borderId="29" xfId="2" applyNumberFormat="1" applyFont="1" applyBorder="1" applyAlignment="1" applyProtection="1">
      <alignment horizontal="right" vertical="center"/>
    </xf>
    <xf numFmtId="180" fontId="2" fillId="0" borderId="41" xfId="2" applyNumberFormat="1" applyFont="1" applyBorder="1" applyAlignment="1" applyProtection="1">
      <alignment horizontal="right" vertical="center"/>
    </xf>
    <xf numFmtId="179" fontId="2" fillId="5" borderId="13" xfId="1" applyNumberFormat="1" applyFont="1" applyFill="1" applyBorder="1" applyAlignment="1" applyProtection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180" fontId="2" fillId="5" borderId="15" xfId="2" applyNumberFormat="1" applyFont="1" applyFill="1" applyBorder="1" applyAlignment="1" applyProtection="1">
      <alignment horizontal="center" vertical="center"/>
    </xf>
    <xf numFmtId="180" fontId="2" fillId="2" borderId="41" xfId="2" applyNumberFormat="1" applyFont="1" applyFill="1" applyBorder="1" applyAlignment="1" applyProtection="1">
      <alignment horizontal="right" vertical="center" wrapText="1"/>
    </xf>
    <xf numFmtId="0" fontId="0" fillId="0" borderId="2" xfId="0" applyFont="1" applyBorder="1" applyAlignment="1" applyProtection="1">
      <alignment vertical="center"/>
      <protection locked="0"/>
    </xf>
    <xf numFmtId="180" fontId="5" fillId="0" borderId="0" xfId="2" applyNumberFormat="1" applyFont="1" applyFill="1" applyBorder="1" applyAlignment="1" applyProtection="1">
      <alignment horizontal="right" vertical="center"/>
    </xf>
    <xf numFmtId="0" fontId="2" fillId="10" borderId="29" xfId="0" applyFont="1" applyFill="1" applyBorder="1" applyAlignment="1">
      <alignment horizontal="center" vertical="center"/>
    </xf>
    <xf numFmtId="0" fontId="2" fillId="10" borderId="41" xfId="0" applyFont="1" applyFill="1" applyBorder="1" applyAlignment="1">
      <alignment horizontal="center" vertical="center"/>
    </xf>
    <xf numFmtId="0" fontId="2" fillId="10" borderId="42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180" fontId="0" fillId="10" borderId="20" xfId="2" applyNumberFormat="1" applyFont="1" applyFill="1" applyBorder="1" applyAlignment="1" applyProtection="1">
      <alignment vertical="center"/>
      <protection locked="0"/>
    </xf>
    <xf numFmtId="0" fontId="1" fillId="14" borderId="19" xfId="0" applyFont="1" applyFill="1" applyBorder="1" applyAlignment="1" applyProtection="1">
      <alignment horizontal="right" vertical="center"/>
      <protection locked="0"/>
    </xf>
    <xf numFmtId="180" fontId="0" fillId="4" borderId="20" xfId="2" applyNumberFormat="1" applyFont="1" applyFill="1" applyBorder="1" applyAlignment="1" applyProtection="1">
      <alignment vertical="center"/>
      <protection locked="0"/>
    </xf>
    <xf numFmtId="180" fontId="0" fillId="10" borderId="22" xfId="2" applyNumberFormat="1" applyFont="1" applyFill="1" applyBorder="1" applyAlignment="1" applyProtection="1">
      <alignment vertical="center"/>
      <protection locked="0"/>
    </xf>
    <xf numFmtId="0" fontId="1" fillId="14" borderId="21" xfId="0" applyFont="1" applyFill="1" applyBorder="1" applyAlignment="1" applyProtection="1">
      <alignment horizontal="right" vertical="center"/>
      <protection locked="0"/>
    </xf>
    <xf numFmtId="180" fontId="0" fillId="4" borderId="22" xfId="2" applyNumberFormat="1" applyFont="1" applyFill="1" applyBorder="1" applyAlignment="1" applyProtection="1">
      <alignment vertical="center"/>
      <protection locked="0"/>
    </xf>
    <xf numFmtId="180" fontId="0" fillId="10" borderId="24" xfId="2" applyNumberFormat="1" applyFont="1" applyFill="1" applyBorder="1" applyAlignment="1" applyProtection="1">
      <alignment vertical="center"/>
      <protection locked="0"/>
    </xf>
    <xf numFmtId="0" fontId="1" fillId="14" borderId="43" xfId="0" applyFont="1" applyFill="1" applyBorder="1" applyAlignment="1" applyProtection="1">
      <alignment horizontal="right" vertical="center"/>
      <protection locked="0"/>
    </xf>
    <xf numFmtId="180" fontId="0" fillId="4" borderId="24" xfId="2" applyNumberFormat="1" applyFont="1" applyFill="1" applyBorder="1" applyAlignment="1" applyProtection="1">
      <alignment vertical="center"/>
      <protection locked="0"/>
    </xf>
    <xf numFmtId="180" fontId="2" fillId="8" borderId="13" xfId="2" applyNumberFormat="1" applyFont="1" applyFill="1" applyBorder="1" applyAlignment="1" applyProtection="1">
      <alignment horizontal="center" vertical="center"/>
    </xf>
    <xf numFmtId="180" fontId="2" fillId="8" borderId="15" xfId="2" applyNumberFormat="1" applyFont="1" applyFill="1" applyBorder="1" applyAlignment="1" applyProtection="1">
      <alignment horizontal="center" vertical="center"/>
    </xf>
    <xf numFmtId="180" fontId="2" fillId="11" borderId="15" xfId="2" applyNumberFormat="1" applyFont="1" applyFill="1" applyBorder="1" applyAlignment="1" applyProtection="1">
      <alignment vertical="center"/>
    </xf>
    <xf numFmtId="180" fontId="2" fillId="9" borderId="15" xfId="2" applyNumberFormat="1" applyFont="1" applyFill="1" applyBorder="1" applyAlignment="1" applyProtection="1">
      <alignment vertical="center"/>
    </xf>
    <xf numFmtId="180" fontId="2" fillId="4" borderId="39" xfId="2" applyNumberFormat="1" applyFont="1" applyFill="1" applyBorder="1" applyAlignment="1" applyProtection="1">
      <alignment vertical="center"/>
    </xf>
    <xf numFmtId="180" fontId="2" fillId="12" borderId="42" xfId="2" applyNumberFormat="1" applyFont="1" applyFill="1" applyBorder="1" applyAlignment="1" applyProtection="1">
      <alignment horizontal="center" vertical="center" wrapText="1"/>
    </xf>
    <xf numFmtId="180" fontId="2" fillId="12" borderId="15" xfId="2" applyNumberFormat="1" applyFont="1" applyFill="1" applyBorder="1" applyAlignment="1" applyProtection="1">
      <alignment horizontal="center" vertical="center"/>
    </xf>
    <xf numFmtId="180" fontId="0" fillId="0" borderId="20" xfId="2" applyNumberFormat="1" applyFont="1" applyBorder="1" applyAlignment="1" applyProtection="1">
      <alignment vertical="center"/>
    </xf>
    <xf numFmtId="180" fontId="2" fillId="13" borderId="44" xfId="2" applyNumberFormat="1" applyFont="1" applyFill="1" applyBorder="1" applyAlignment="1" applyProtection="1">
      <alignment vertical="center"/>
    </xf>
    <xf numFmtId="180" fontId="2" fillId="0" borderId="44" xfId="2" applyNumberFormat="1" applyFont="1" applyFill="1" applyBorder="1" applyAlignment="1" applyProtection="1">
      <alignment vertical="center"/>
      <protection locked="0"/>
    </xf>
    <xf numFmtId="180" fontId="2" fillId="2" borderId="44" xfId="2" applyNumberFormat="1" applyFont="1" applyFill="1" applyBorder="1" applyAlignment="1" applyProtection="1">
      <alignment vertical="center"/>
    </xf>
    <xf numFmtId="180" fontId="5" fillId="0" borderId="0" xfId="2" applyNumberFormat="1" applyFont="1" applyFill="1" applyBorder="1" applyAlignment="1" applyProtection="1">
      <alignment vertical="center"/>
    </xf>
    <xf numFmtId="180" fontId="2" fillId="0" borderId="0" xfId="2" applyNumberFormat="1" applyFont="1" applyAlignment="1" applyProtection="1">
      <alignment horizontal="center" vertical="center"/>
      <protection locked="0"/>
    </xf>
    <xf numFmtId="0" fontId="0" fillId="0" borderId="45" xfId="0" applyFont="1" applyBorder="1" applyAlignment="1" applyProtection="1">
      <alignment horizontal="center" vertical="center"/>
      <protection locked="0"/>
    </xf>
    <xf numFmtId="0" fontId="0" fillId="0" borderId="45" xfId="0" applyFont="1" applyBorder="1" applyAlignment="1" applyProtection="1">
      <alignment vertical="center"/>
      <protection locked="0"/>
    </xf>
    <xf numFmtId="180" fontId="0" fillId="0" borderId="24" xfId="2" applyNumberFormat="1" applyFont="1" applyBorder="1" applyAlignment="1" applyProtection="1">
      <alignment vertical="center"/>
      <protection locked="0"/>
    </xf>
    <xf numFmtId="180" fontId="0" fillId="10" borderId="20" xfId="2" applyNumberFormat="1" applyFont="1" applyFill="1" applyBorder="1" applyAlignment="1" applyProtection="1">
      <alignment vertical="center"/>
    </xf>
    <xf numFmtId="0" fontId="0" fillId="10" borderId="46" xfId="0" applyFont="1" applyFill="1" applyBorder="1" applyAlignment="1">
      <alignment horizontal="right" vertical="center"/>
    </xf>
    <xf numFmtId="180" fontId="1" fillId="0" borderId="0" xfId="2" applyNumberFormat="1" applyFont="1" applyBorder="1" applyAlignment="1" applyProtection="1">
      <alignment vertical="center"/>
      <protection locked="0"/>
    </xf>
    <xf numFmtId="180" fontId="5" fillId="0" borderId="0" xfId="2" applyNumberFormat="1" applyFont="1" applyAlignment="1" applyProtection="1">
      <alignment vertical="center"/>
      <protection locked="0"/>
    </xf>
    <xf numFmtId="0" fontId="6" fillId="14" borderId="19" xfId="0" applyFont="1" applyFill="1" applyBorder="1" applyAlignment="1" applyProtection="1">
      <alignment horizontal="right" vertical="center"/>
      <protection locked="0"/>
    </xf>
    <xf numFmtId="0" fontId="6" fillId="14" borderId="21" xfId="0" applyFont="1" applyFill="1" applyBorder="1" applyAlignment="1" applyProtection="1">
      <alignment horizontal="right" vertical="center"/>
      <protection locked="0"/>
    </xf>
    <xf numFmtId="0" fontId="6" fillId="14" borderId="43" xfId="0" applyFont="1" applyFill="1" applyBorder="1" applyAlignment="1" applyProtection="1">
      <alignment horizontal="right" vertical="center"/>
      <protection locked="0"/>
    </xf>
    <xf numFmtId="0" fontId="7" fillId="14" borderId="19" xfId="0" applyFont="1" applyFill="1" applyBorder="1" applyAlignment="1" applyProtection="1">
      <alignment horizontal="right" vertical="center"/>
      <protection locked="0"/>
    </xf>
    <xf numFmtId="0" fontId="7" fillId="14" borderId="21" xfId="0" applyFont="1" applyFill="1" applyBorder="1" applyAlignment="1" applyProtection="1">
      <alignment horizontal="right" vertical="center"/>
      <protection locked="0"/>
    </xf>
    <xf numFmtId="0" fontId="7" fillId="14" borderId="43" xfId="0" applyFont="1" applyFill="1" applyBorder="1" applyAlignment="1" applyProtection="1">
      <alignment horizontal="right" vertical="center"/>
      <protection locked="0"/>
    </xf>
    <xf numFmtId="0" fontId="0" fillId="14" borderId="19" xfId="0" applyFill="1" applyBorder="1" applyAlignment="1" applyProtection="1">
      <alignment horizontal="right" vertical="center"/>
      <protection locked="0"/>
    </xf>
    <xf numFmtId="0" fontId="0" fillId="14" borderId="21" xfId="0" applyFill="1" applyBorder="1" applyAlignment="1" applyProtection="1">
      <alignment horizontal="right" vertical="center"/>
      <protection locked="0"/>
    </xf>
    <xf numFmtId="0" fontId="0" fillId="14" borderId="43" xfId="0" applyFill="1" applyBorder="1" applyAlignment="1" applyProtection="1">
      <alignment horizontal="right" vertical="center"/>
      <protection locked="0"/>
    </xf>
    <xf numFmtId="0" fontId="2" fillId="5" borderId="8" xfId="0" applyFont="1" applyFill="1" applyBorder="1" applyAlignment="1" applyProtection="1">
      <alignment horizontal="center" vertical="center"/>
      <protection locked="0"/>
    </xf>
    <xf numFmtId="0" fontId="2" fillId="5" borderId="9" xfId="0" applyFont="1" applyFill="1" applyBorder="1" applyAlignment="1" applyProtection="1">
      <alignment horizontal="center" vertical="center"/>
      <protection locked="0"/>
    </xf>
    <xf numFmtId="181" fontId="2" fillId="5" borderId="10" xfId="0" applyNumberFormat="1" applyFont="1" applyFill="1" applyBorder="1" applyAlignment="1" applyProtection="1">
      <alignment horizontal="center" vertical="center"/>
      <protection locked="0"/>
    </xf>
    <xf numFmtId="181" fontId="2" fillId="5" borderId="11" xfId="0" applyNumberFormat="1" applyFont="1" applyFill="1" applyBorder="1" applyAlignment="1" applyProtection="1">
      <alignment horizontal="center" vertical="center"/>
      <protection locked="0"/>
    </xf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Moneda 2" xfId="49"/>
    <cellStyle name="Normal 12" xfId="50"/>
  </cellStyles>
  <dxfs count="2">
    <dxf>
      <font>
        <color rgb="FFFF0000"/>
      </font>
      <fill>
        <patternFill patternType="none"/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www.wps.cn/officeDocument/2023/relationships/customStorage" Target="customStorage/customStorage.xml"/><Relationship Id="rId38" Type="http://schemas.openxmlformats.org/officeDocument/2006/relationships/styles" Target="styles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customXml" Target="../customXml/item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C7" sqref="C7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1</f>
        <v>1</v>
      </c>
      <c r="B1" s="258" t="s">
        <v>0</v>
      </c>
      <c r="C1" s="259"/>
      <c r="D1" s="260">
        <v>46143</v>
      </c>
      <c r="E1" s="261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55"/>
      <c r="E57" s="222">
        <v>0</v>
      </c>
    </row>
    <row r="58" spans="1:5">
      <c r="A58" s="144" t="s">
        <v>62</v>
      </c>
      <c r="B58" s="145"/>
      <c r="C58" s="223">
        <v>0</v>
      </c>
      <c r="D58" s="256"/>
      <c r="E58" s="225">
        <v>0</v>
      </c>
    </row>
    <row r="59" ht="15.15" spans="1:5">
      <c r="A59" s="147" t="s">
        <v>63</v>
      </c>
      <c r="B59" s="148"/>
      <c r="C59" s="226">
        <v>0</v>
      </c>
      <c r="D59" s="25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VaBqEZWKP2c6SKLSnkqMJtNOSUswDf9AGGqsI6mM1F1NR6gWVlam9ockwdlYbDuGXMf1cTuSjgPEU5iISpPpJw==" saltValue="HkT0ar5gS5yaByXRaOBYHA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29" operator="lessThan">
      <formula>0</formula>
    </cfRule>
    <cfRule type="cellIs" dxfId="1" priority="30" operator="lessThan">
      <formula>0</formula>
    </cfRule>
  </conditionalFormatting>
  <conditionalFormatting sqref="J10">
    <cfRule type="cellIs" dxfId="0" priority="27" operator="lessThan">
      <formula>0</formula>
    </cfRule>
    <cfRule type="cellIs" dxfId="1" priority="28" operator="lessThan">
      <formula>0</formula>
    </cfRule>
  </conditionalFormatting>
  <conditionalFormatting sqref="I13">
    <cfRule type="cellIs" dxfId="0" priority="19" operator="lessThan">
      <formula>0</formula>
    </cfRule>
    <cfRule type="cellIs" dxfId="1" priority="20" operator="lessThan">
      <formula>0</formula>
    </cfRule>
  </conditionalFormatting>
  <conditionalFormatting sqref="I15:I19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2" workbookViewId="0">
      <selection activeCell="G16" sqref="G16:H16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'1'!A1+1</f>
        <v>2</v>
      </c>
      <c r="B1" s="103" t="str">
        <f>+'1'!B1</f>
        <v>QUESO Y CAFÉ</v>
      </c>
      <c r="C1" s="104"/>
      <c r="D1" s="105">
        <f>+'1'!D1:E1+1</f>
        <v>46144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+'1'!E13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+'1'!E14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+'1'!E15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+'1'!E16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+'1'!E17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+'1'!E18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+'1'!E19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55"/>
      <c r="E57" s="222">
        <v>0</v>
      </c>
    </row>
    <row r="58" spans="1:5">
      <c r="A58" s="144" t="s">
        <v>62</v>
      </c>
      <c r="B58" s="145"/>
      <c r="C58" s="223">
        <v>0</v>
      </c>
      <c r="D58" s="256"/>
      <c r="E58" s="225">
        <v>0</v>
      </c>
    </row>
    <row r="59" ht="15.15" spans="1:5">
      <c r="A59" s="147" t="s">
        <v>63</v>
      </c>
      <c r="B59" s="148"/>
      <c r="C59" s="226">
        <v>0</v>
      </c>
      <c r="D59" s="25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x56IVsCFh0ebeFDV+wD0KliaZVZrlHEu1TdZfIHHWf21PCXv15zKHmMU1dplJcAHTPWjRZr3rejkEZXSxMvuHw==" saltValue="fzP6/IpwffPQftEMNujSuQ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29" operator="lessThan">
      <formula>0</formula>
    </cfRule>
    <cfRule type="cellIs" dxfId="1" priority="30" operator="lessThan">
      <formula>0</formula>
    </cfRule>
  </conditionalFormatting>
  <conditionalFormatting sqref="J10">
    <cfRule type="cellIs" dxfId="0" priority="27" operator="lessThan">
      <formula>0</formula>
    </cfRule>
    <cfRule type="cellIs" dxfId="1" priority="28" operator="lessThan">
      <formula>0</formula>
    </cfRule>
  </conditionalFormatting>
  <conditionalFormatting sqref="I13">
    <cfRule type="cellIs" dxfId="0" priority="19" operator="lessThan">
      <formula>0</formula>
    </cfRule>
    <cfRule type="cellIs" dxfId="1" priority="20" operator="lessThan">
      <formula>0</formula>
    </cfRule>
  </conditionalFormatting>
  <conditionalFormatting sqref="I15:I19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37:I43">
    <cfRule type="cellIs" dxfId="0" priority="13" operator="lessThan">
      <formula>0</formula>
    </cfRule>
    <cfRule type="cellIs" dxfId="1" priority="14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D16" sqref="D16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'2'!A1+1</f>
        <v>3</v>
      </c>
      <c r="B1" s="103" t="str">
        <f>+'1'!B1</f>
        <v>QUESO Y CAFÉ</v>
      </c>
      <c r="C1" s="104"/>
      <c r="D1" s="105">
        <f>+'2'!D1:E1+1</f>
        <v>46145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+'2'!E13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+'2'!E14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+'2'!E15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+'2'!E16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+'2'!E17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+'2'!E18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+'2'!E19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dGxPKt2i/4QNryIHPkFT68ZNkPRYlUcCMKebtEi+W9MH/Upi/5byUCmZ8Z0au83UR7gH+3ADQPJg8lY9GGwIeg==" saltValue="jU6g8GIfAT1WG6QeRVbHLQ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34" workbookViewId="0">
      <selection activeCell="G37" sqref="G37:H37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'3'!A1+1</f>
        <v>4</v>
      </c>
      <c r="B1" s="103" t="str">
        <f>+'1'!B1</f>
        <v>QUESO Y CAFÉ</v>
      </c>
      <c r="C1" s="104"/>
      <c r="D1" s="105">
        <f>+'3'!D1:E1+1</f>
        <v>46146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+'3'!E13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+'3'!E14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+'3'!E15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+'3'!E16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+'3'!E17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+'3'!E18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+'3'!E19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jF2QGpFwolnQ4u60/8nEnQUsFTC10bLP8w3SEPcDaFi0EJdxxvvParuGXD91Yc0RuTHQ7vSr2VslLh9Z8xeTZQ==" saltValue="Wv80NYaOggyFp2ZxLZpd/Q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33" workbookViewId="0">
      <selection activeCell="H45" sqref="H45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'4'!A1+1</f>
        <v>5</v>
      </c>
      <c r="B1" s="103" t="str">
        <f>+'1'!B1</f>
        <v>QUESO Y CAFÉ</v>
      </c>
      <c r="C1" s="104"/>
      <c r="D1" s="105">
        <f>+'4'!D1:E1+1</f>
        <v>46147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+'4'!E13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+'4'!E14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+'4'!E15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+'4'!E16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+'4'!E17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+'4'!E18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+'4'!E19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52"/>
      <c r="E57" s="222">
        <v>0</v>
      </c>
    </row>
    <row r="58" spans="1:5">
      <c r="A58" s="144" t="s">
        <v>62</v>
      </c>
      <c r="B58" s="145"/>
      <c r="C58" s="223">
        <v>0</v>
      </c>
      <c r="D58" s="253"/>
      <c r="E58" s="225">
        <v>0</v>
      </c>
    </row>
    <row r="59" ht="15.15" spans="1:5">
      <c r="A59" s="147" t="s">
        <v>63</v>
      </c>
      <c r="B59" s="148"/>
      <c r="C59" s="226">
        <v>0</v>
      </c>
      <c r="D59" s="254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d9HQXGUodPO/+fjAEq37W0pvQ5nbglDzrlhL/07/bc9zDiX994Kgfu2IR+mqc+tbVtYWHKJ/S79rH3RCwSizdw==" saltValue="b1kRuWp4K6aZofE1C9ILXQ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D44" sqref="D44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'5'!A1+1</f>
        <v>6</v>
      </c>
      <c r="B1" s="103" t="str">
        <f>+'1'!B1</f>
        <v>QUESO Y CAFÉ</v>
      </c>
      <c r="C1" s="104"/>
      <c r="D1" s="105">
        <f>+'5'!D1:E1+1</f>
        <v>46148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+'5'!E13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+'5'!E14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+'5'!E15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+'5'!E16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+'5'!E17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+'5'!E18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+'5'!E19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4417ZaW+2CIqhyqgsUGFXBHRB4Hu7y3mSCdCQk9OneuFJgtsz5Zzh4DywfFVm2vZnDY4Y7BOmPU/CRoDjzyY0w==" saltValue="aoZ+cBZQ2Qz4X9KlRmZ3Tw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32" workbookViewId="0">
      <selection activeCell="H49" sqref="H49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'6'!A1+1</f>
        <v>7</v>
      </c>
      <c r="B1" s="103" t="str">
        <f>+'1'!B1</f>
        <v>QUESO Y CAFÉ</v>
      </c>
      <c r="C1" s="104"/>
      <c r="D1" s="105">
        <f>+'6'!D1:E1+1</f>
        <v>46149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+'6'!E13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+'6'!E14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+'6'!E15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+'6'!E16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+'6'!E17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+'6'!E18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+'6'!E19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49"/>
      <c r="E57" s="222">
        <v>0</v>
      </c>
    </row>
    <row r="58" spans="1:5">
      <c r="A58" s="144" t="s">
        <v>62</v>
      </c>
      <c r="B58" s="145"/>
      <c r="C58" s="223">
        <v>0</v>
      </c>
      <c r="D58" s="250"/>
      <c r="E58" s="225">
        <v>0</v>
      </c>
    </row>
    <row r="59" ht="15.15" spans="1:5">
      <c r="A59" s="147" t="s">
        <v>63</v>
      </c>
      <c r="B59" s="148"/>
      <c r="C59" s="226">
        <v>0</v>
      </c>
      <c r="D59" s="251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/bRnr6aXRhoaUWsSCW1B6uhSH20nXJ8oV0xcKQTcABEsMdEzSz8FLxlzTtnqR9MdW8QUIdOEWytZPgLesjnjIQ==" saltValue="7odBvt/hgYz5ztoiVBrnhA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A58" sqref="A58:B58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'7'!A1+1</f>
        <v>8</v>
      </c>
      <c r="B1" s="103" t="str">
        <f>+'1'!B1</f>
        <v>QUESO Y CAFÉ</v>
      </c>
      <c r="C1" s="104"/>
      <c r="D1" s="105">
        <f>+'7'!D1:E1+1</f>
        <v>46150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+'7'!E13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+'7'!E14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+'7'!E15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+'7'!E16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+'7'!E17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+'7'!E18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+'7'!E19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OV/50BVZsO64vaanGATOUc8EGRlE5PjK0Hgyr9cm5FSe2UVIOhxOdXqFkYkrSQVtAS1vOkXcLYQ+8stlQbM50w==" saltValue="LKaMC+gXa0QyPK4jjjxHGQ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33" workbookViewId="0">
      <selection activeCell="G44" sqref="G44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'8'!A1+1</f>
        <v>9</v>
      </c>
      <c r="B1" s="103" t="str">
        <f>+'1'!B1</f>
        <v>QUESO Y CAFÉ</v>
      </c>
      <c r="C1" s="104"/>
      <c r="D1" s="105">
        <f>+'8'!D1:E1+1</f>
        <v>46151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+'8'!E13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+'8'!E14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+'8'!E15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+'8'!E16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+'8'!E17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+'8'!E18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+'8'!E19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FGBUf8qsefTYNmL6bcosqi5cnFc7xOQOs+KBPvToKZkNV4fHLd9ogHFyfVaMXyS4p60zwF3S/34hO4406+ohiw==" saltValue="wC5E0AhV9JohJYRnvsBXbg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36" workbookViewId="0">
      <selection activeCell="G49" sqref="G49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'9'!A1+1</f>
        <v>10</v>
      </c>
      <c r="B1" s="103" t="str">
        <f>+'1'!B1</f>
        <v>QUESO Y CAFÉ</v>
      </c>
      <c r="C1" s="104"/>
      <c r="D1" s="105">
        <f>+'9'!D1:E1+1</f>
        <v>46152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+'9'!E13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+'9'!E14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+'9'!E15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+'9'!E16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+'9'!E17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+'9'!E18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+'9'!E19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J5RvMLoy8CcjFPLS+V3QTYTuXnPPWh8WwDD2YPoOJS3O7X5YiVbY182JU+lVPP03L52DUYIxS88i8VO7t5C/Sw==" saltValue="0W5jlAXKW+ckeF9oSHIyCw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G45" sqref="G45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'10'!A1+1</f>
        <v>11</v>
      </c>
      <c r="B1" s="103" t="str">
        <f>+'1'!B1</f>
        <v>QUESO Y CAFÉ</v>
      </c>
      <c r="C1" s="104"/>
      <c r="D1" s="105">
        <f>+'10'!D1:E1+1</f>
        <v>46153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+'10'!E13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+'10'!E14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+'10'!E15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+'10'!E16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+'10'!E17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+'10'!E18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+'10'!E19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sIyj5ROlai/+cDzZFDPW5ZtYFaigeG+Aovi5lBKAuJ/XGjOH7CHcg+0ViTTjDgt+lPc/NR+Ph4Shw7+JGox9xw==" saltValue="JxSVUUA5MTXEqMGRH1AuUQ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33" workbookViewId="0">
      <selection activeCell="G43" sqref="G43:H43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'11'!A1+1</f>
        <v>12</v>
      </c>
      <c r="B1" s="103" t="str">
        <f>+'1'!B1</f>
        <v>QUESO Y CAFÉ</v>
      </c>
      <c r="C1" s="104"/>
      <c r="D1" s="105">
        <f>+'11'!D1:E1+1</f>
        <v>46154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+'11'!E13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+'11'!E14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+'11'!E15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+'11'!E16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+'11'!E17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+'11'!E18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+'11'!E19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9cIH8BLNvZ+aN/t0oKgngfM/kk8fHEovXERYPf91chAnPTlLDvG8Z3y9x/sh9lI0uuvMBkBexZTjovkUKyn2Kw==" saltValue="jIM/bKg4vaRWC4JqsZbbpg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35" workbookViewId="0">
      <selection activeCell="G37" sqref="G37:I43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'12'!A1+1</f>
        <v>13</v>
      </c>
      <c r="B1" s="103" t="str">
        <f>+'1'!B1</f>
        <v>QUESO Y CAFÉ</v>
      </c>
      <c r="C1" s="104"/>
      <c r="D1" s="105">
        <f>+'12'!D1:E1+1</f>
        <v>46155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+'12'!E13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+'12'!E14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+'12'!E15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+'12'!E16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+'12'!E17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+'12'!E18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+'12'!E19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YZVa3d0RV6HEePagXfSzVQG0cFoDODSsS2LAGZ5dPIcIsOj25JrRRYrLl8yVWuHO12w6BaXEN7sjoYC9IXptHQ==" saltValue="6XNMFTAL8VL8JxcLxPIdtQ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31" workbookViewId="0">
      <selection activeCell="D58" sqref="D58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'13'!A1+1</f>
        <v>14</v>
      </c>
      <c r="B1" s="103" t="str">
        <f>+'1'!B1</f>
        <v>QUESO Y CAFÉ</v>
      </c>
      <c r="C1" s="104"/>
      <c r="D1" s="105">
        <f>+'13'!D1:E1+1</f>
        <v>46156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+'13'!E13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+'13'!E14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+'13'!E15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+'13'!E16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+'13'!E17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+'13'!E18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+'13'!E19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DyFdWEzTIrICm3s2pO4AN/5bwJwMQ0WmVBtyoSJSdA9om5mIlaRnHbIhIa5E12SteHM+cWaXlZuD33qxerYxtg==" saltValue="hTKHUnI+cgprJyl5Z21fWw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33" workbookViewId="0">
      <selection activeCell="G40" sqref="G40:H40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'14'!A1+1</f>
        <v>15</v>
      </c>
      <c r="B1" s="103" t="str">
        <f>+'1'!B1</f>
        <v>QUESO Y CAFÉ</v>
      </c>
      <c r="C1" s="104"/>
      <c r="D1" s="105">
        <f>+'14'!D1:E1+1</f>
        <v>46157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+'14'!E13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+'14'!E14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+'14'!E15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+'14'!E16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+'14'!E17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+'14'!E18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+'14'!E19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8J8kVvdcFSQvgz3nYec5VDpfKDTVVv5oMeTihwzK480GhvRuOW2cRib9Qr+iu2Es//jUs9NuWta3TJn1/Yv2IQ==" saltValue="Z5MEDZfjmByx83EqMpr8cA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34" workbookViewId="0">
      <selection activeCell="D57" sqref="D57:D59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'15'!A1+1</f>
        <v>16</v>
      </c>
      <c r="B1" s="103" t="str">
        <f>+'1'!B1</f>
        <v>QUESO Y CAFÉ</v>
      </c>
      <c r="C1" s="104"/>
      <c r="D1" s="105">
        <f>+'15'!D1:E1+1</f>
        <v>46158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+'15'!E13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+'15'!E14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+'15'!E15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+'15'!E16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+'15'!E17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+'15'!E18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+'15'!E19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SoW/fmn2QoJVLJLAx/oitwjYerXrtYdnUi6FzX218RqjBVZqp2WGF0viIbkSuh2wImDuJmOCOSuvge5rLVS6Fg==" saltValue="uqsEF/nRUh7VWh6gWxySlA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E22" sqref="E22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'16'!A1+1</f>
        <v>17</v>
      </c>
      <c r="B1" s="103" t="str">
        <f>+'1'!B1</f>
        <v>QUESO Y CAFÉ</v>
      </c>
      <c r="C1" s="104"/>
      <c r="D1" s="105">
        <f>+'16'!D1:E1+1</f>
        <v>46159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+'16'!E13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+'16'!E14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+'16'!E15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+'16'!E16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+'16'!E17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+'16'!E18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+'16'!E19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Is3T99BFxjeFQJJ11A2rKWTce9GGmya8bZbw3Uc1OzjFI8AwiOsejW43vI+2e5acD2qIZdqu0yPakQ4MfLUyRg==" saltValue="ae191V6TZpa8KPLkZcrLvw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G40" sqref="G40:H40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'17'!A1+1</f>
        <v>18</v>
      </c>
      <c r="B1" s="103" t="str">
        <f>+'1'!B1</f>
        <v>QUESO Y CAFÉ</v>
      </c>
      <c r="C1" s="104"/>
      <c r="D1" s="105">
        <f>+'17'!D1:E1+1</f>
        <v>46160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+'17'!E13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+'17'!E14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+'17'!E15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+'17'!E16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+'17'!E17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+'17'!E18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+'17'!E19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C4sTY7x46FVm39/ng+89s2g9UxImyecVwYym2O3DzY5jtAkFEOg5vBhULJ75Y2eMVoP20vRQrD4KCbeXgb4S8Q==" saltValue="O50x1NfFXNLY/T/REMltTg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46" workbookViewId="0">
      <selection activeCell="H4" sqref="H4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'18'!A1+1</f>
        <v>19</v>
      </c>
      <c r="B1" s="103" t="str">
        <f>+'1'!B1</f>
        <v>QUESO Y CAFÉ</v>
      </c>
      <c r="C1" s="104"/>
      <c r="D1" s="105">
        <f>+'18'!D1:E1+1</f>
        <v>46161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+'18'!E13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+'18'!E14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+'18'!E15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+'18'!E16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+'18'!E17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+'18'!E18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+'18'!E19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247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bIqRWD1FTQZdbeXch635x6dPr8i1elgAMTDh7d+R+R3+xUMZvirvU79VJZNsk4i+24nWB9sYPaX6oc+5bAl5dA==" saltValue="WZNocvr3AXYckZhB8kIsMQ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I7" sqref="I7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'19'!A1+1</f>
        <v>20</v>
      </c>
      <c r="B1" s="103" t="str">
        <f>+'1'!B1</f>
        <v>QUESO Y CAFÉ</v>
      </c>
      <c r="C1" s="104"/>
      <c r="D1" s="105">
        <f>+'19'!D1:E1+1</f>
        <v>46162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+'19'!E13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+'19'!E14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+'19'!E15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+'19'!E16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+'19'!E17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+'19'!E18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+'19'!E19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247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qyhRaZxfIZzUeDogWhMxxvpwhH7H4JAq9uFOmxsvn+IGKtnVtRntaQnEod2+6dRK7j7CZmcf0lSJEB7e52xMVA==" saltValue="1/ndVKK6dazZPF5pTOTWGA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22" workbookViewId="0">
      <selection activeCell="G37" sqref="G37:I43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'20'!A1+1</f>
        <v>21</v>
      </c>
      <c r="B1" s="103" t="str">
        <f>+'1'!B1</f>
        <v>QUESO Y CAFÉ</v>
      </c>
      <c r="C1" s="104"/>
      <c r="D1" s="105">
        <f>+'20'!D1:E1+1</f>
        <v>46163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+'20'!E13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+'20'!E14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+'20'!E15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+'20'!E16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+'20'!E17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+'20'!E18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+'20'!E19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Ayr/sLqeakSIVfEADsnQogjiE00rekta2Hh5QAPoRJ+kccTE1mhqkJSabbQ6+MJfvEyYkXdu9jMrsiNIsGrt1Q==" saltValue="8B7LbsTBG0FWL7zbwbbrSw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G57" sqref="G57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'21'!A1+1</f>
        <v>22</v>
      </c>
      <c r="B1" s="103" t="str">
        <f>+'1'!B1</f>
        <v>QUESO Y CAFÉ</v>
      </c>
      <c r="C1" s="104"/>
      <c r="D1" s="105">
        <f>+'21'!D1:E1+1</f>
        <v>46164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+'21'!E13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+'21'!E14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+'21'!E15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+'21'!E16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+'21'!E17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+'21'!E18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+'21'!E19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9x5+rK2NTKJUmUvoWr3xWZcwNf7TCjnfiXTCGPIJKgA+JWzpBdG6jOdl+VwhnSema0rTu5m8cdHegwpFSwDFjw==" saltValue="Bs1PNGho75PYI/MnVecwuA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H53" sqref="H53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'22'!A1+1</f>
        <v>23</v>
      </c>
      <c r="B1" s="103" t="str">
        <f>+'1'!B1</f>
        <v>QUESO Y CAFÉ</v>
      </c>
      <c r="C1" s="104"/>
      <c r="D1" s="105">
        <f>+'22'!D1:E1+1</f>
        <v>46165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+'22'!E13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+'22'!E14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+'22'!E15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+'22'!E16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+'22'!E17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+'22'!E18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+'22'!E19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TXogEwU8vknWTT/0oOwrBFTPOv/CgLrB5+5dXX/16y0NW5UefZwvPBxeYt6PaSF9uLTwn1TNQCSDfY2aeb133w==" saltValue="qqXHsVNZamOnt/jSvah25g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D57" sqref="D57:D59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'23'!A1+1</f>
        <v>24</v>
      </c>
      <c r="B1" s="103" t="str">
        <f>+'1'!B1</f>
        <v>QUESO Y CAFÉ</v>
      </c>
      <c r="C1" s="104"/>
      <c r="D1" s="105">
        <f>+'23'!D1:E1+1</f>
        <v>46166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+'23'!E13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+'23'!E14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+'23'!E15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+'23'!E16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+'23'!E17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+'23'!E18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+'23'!E19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Pd4AgRmjVq4l42dNKY7EVW1Ctr8Unbh9kgWAabkqI/FnzPscEReCRh2iTEEv+aAaC/XjUzUFDUItM4+XvuwrDg==" saltValue="artmwOIrOKxyuHkFYcOtWw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F48" sqref="F48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'24'!A1+1</f>
        <v>25</v>
      </c>
      <c r="B1" s="103" t="str">
        <f>+'1'!B1</f>
        <v>QUESO Y CAFÉ</v>
      </c>
      <c r="C1" s="104"/>
      <c r="D1" s="105">
        <f>+'24'!D1:E1+1</f>
        <v>46167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+'24'!E13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+'24'!E14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+'24'!E15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+'24'!E16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+'24'!E17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+'24'!E18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+'24'!E19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B4cykjROdAOWHldQQjq875u8cevkpe9qLHfRtGXKMfCfOUIasKIckzVekRUvyF52cVh0ZsP5XI9f62zw6Jo/hw==" saltValue="+KsOBQlvOqjMDibRPlarjA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topLeftCell="A35" workbookViewId="0">
      <selection activeCell="D57" sqref="D57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'25'!A1+1</f>
        <v>26</v>
      </c>
      <c r="B1" s="103" t="str">
        <f>+'1'!B1</f>
        <v>QUESO Y CAFÉ</v>
      </c>
      <c r="C1" s="104"/>
      <c r="D1" s="105">
        <f>+'25'!D1:E1+1</f>
        <v>46168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+'25'!E13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+'25'!E14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+'25'!E15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+'25'!E16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+'25'!E17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+'25'!E18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+'25'!E19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YH1kNaHbi2KQMo5Mau9ffjbLiAg0XcCzx6CvniH2bjkj8kz0Ri6Fko5P3mfTtnThoJKdWDEiNIiSa9khqlaraA==" saltValue="N7dMTkwI9NBBBC4zKqgOOg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G16" sqref="G16:H16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'26'!A1+1</f>
        <v>27</v>
      </c>
      <c r="B1" s="103" t="str">
        <f>+'1'!B1</f>
        <v>QUESO Y CAFÉ</v>
      </c>
      <c r="C1" s="104"/>
      <c r="D1" s="105">
        <f>+'26'!D1:E1+1</f>
        <v>46169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+'26'!E13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+'26'!E14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+'26'!E15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+'26'!E16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+'26'!E17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+'26'!E18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+'26'!E19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5kGdfcbP0hqBH/9KIowqjcU2Rgl+5as9wSteACwSYRaIKPgYeLUIQ/XUD4VZFMNwy6yUFBFG6I3pFCsrfIKjtQ==" saltValue="OuLoP1HrBeuH4gZGKtXpZQ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A53" sqref="A53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'27'!A1+1</f>
        <v>28</v>
      </c>
      <c r="B1" s="103" t="str">
        <f>+'1'!B1</f>
        <v>QUESO Y CAFÉ</v>
      </c>
      <c r="C1" s="104"/>
      <c r="D1" s="105">
        <f>+'27'!D1:E1+1</f>
        <v>46170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+'27'!E13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+'27'!E14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+'27'!E15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+'27'!E16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+'27'!E17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+'27'!E18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+'27'!E19</f>
        <v>0</v>
      </c>
    </row>
    <row r="44" spans="1:9">
      <c r="A44" s="194" t="str">
        <f>IF(B44="","",VLOOKUP(B44,PROVEEDORES!$B:$C,2,FALSE))</f>
        <v/>
      </c>
      <c r="B44" s="116"/>
      <c r="C44" s="116"/>
      <c r="D44" s="12"/>
      <c r="E44" s="123">
        <v>0</v>
      </c>
      <c r="G44" s="248"/>
      <c r="H44" s="248"/>
      <c r="I44" s="248"/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XeLhZbN2kvMfSJ2VHPO312LZDuCrGoe9puHnSfWExyOmIaAI/Ejq6Ixa6Js6OlnyEtwTXW64ha4oXAX0e0O7UQ==" saltValue="Tii8S87UeaPy/HUAs2Qb+w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G38" sqref="G38:H38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'28'!A1+1</f>
        <v>29</v>
      </c>
      <c r="B1" s="103" t="str">
        <f>+'1'!B1</f>
        <v>QUESO Y CAFÉ</v>
      </c>
      <c r="C1" s="104"/>
      <c r="D1" s="105">
        <f>+'28'!D1:E1+1</f>
        <v>46171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+'28'!E13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+'28'!E14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+'28'!E15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+'28'!E16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+'28'!E17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+'28'!E18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+'28'!E19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/9yplab7OvtXq9aK19rWgdQV8CugyBQ6ba57mTdqReHg8E10vG7tdy2fVJMseGxoRJZlgDdh43VkJJ3IPxaUEA==" saltValue="brAhnOKIp1yZQPvO8SWSUw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H51" sqref="H51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'29'!A1+1</f>
        <v>30</v>
      </c>
      <c r="B1" s="103" t="str">
        <f>+'1'!B1</f>
        <v>QUESO Y CAFÉ</v>
      </c>
      <c r="C1" s="104"/>
      <c r="D1" s="105">
        <f>+'29'!D1:E1+1</f>
        <v>46172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242"/>
      <c r="D12" s="243"/>
      <c r="E12" s="244">
        <v>0</v>
      </c>
    </row>
    <row r="13" ht="15.15" spans="1:9">
      <c r="A13" s="139" t="s">
        <v>19</v>
      </c>
      <c r="B13" s="140"/>
      <c r="C13" s="245">
        <f>SUM(H2,J2)</f>
        <v>0</v>
      </c>
      <c r="D13" s="246" t="s">
        <v>20</v>
      </c>
      <c r="E13" s="245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+'29'!E13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+'29'!E14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+'29'!E15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+'29'!E16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+'29'!E17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+'29'!E18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+'29'!E19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247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21w9dPM4x9lVM363pJZGNTuoqNrilxhZKW0V3nOumpyzeIxqiW0CqjFVeEowYV+3pm0GPD/ruZmtRIAPL0EUUg==" saltValue="mqqKvUmaHtck08lydoye4w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0"/>
  <sheetViews>
    <sheetView workbookViewId="0">
      <selection activeCell="C18" sqref="C18"/>
    </sheetView>
  </sheetViews>
  <sheetFormatPr defaultColWidth="11.5555555555556" defaultRowHeight="14.4"/>
  <cols>
    <col min="1" max="1" width="17.5555555555556" style="99" customWidth="1"/>
    <col min="2" max="3" width="19.6666666666667" style="100" customWidth="1"/>
    <col min="4" max="4" width="34.4444444444444" style="100" customWidth="1"/>
    <col min="5" max="5" width="17" style="101" customWidth="1"/>
    <col min="6" max="6" width="6.33333333333333" style="101" customWidth="1"/>
    <col min="7" max="7" width="21.8888888888889" style="9" customWidth="1"/>
    <col min="8" max="8" width="15.6666666666667" style="9" customWidth="1"/>
    <col min="9" max="9" width="21.8888888888889" style="9" customWidth="1"/>
    <col min="10" max="10" width="15.6666666666667" style="9" customWidth="1"/>
    <col min="11" max="11" width="25" style="9" customWidth="1"/>
    <col min="12" max="12" width="12.8888888888889" style="9" customWidth="1"/>
    <col min="13" max="13" width="15.6666666666667" style="9" customWidth="1"/>
    <col min="14" max="14" width="11.5555555555556" style="9"/>
    <col min="15" max="16384" width="11.5555555555556" style="100"/>
  </cols>
  <sheetData>
    <row r="1" ht="15.15" spans="1:10">
      <c r="A1" s="102">
        <f>'30'!A1+1</f>
        <v>31</v>
      </c>
      <c r="B1" s="103" t="str">
        <f>+'1'!B1</f>
        <v>QUESO Y CAFÉ</v>
      </c>
      <c r="C1" s="104"/>
      <c r="D1" s="105">
        <f>+'30'!D1:E1+1</f>
        <v>46173</v>
      </c>
      <c r="E1" s="106"/>
      <c r="G1" s="107" t="s">
        <v>1</v>
      </c>
      <c r="H1" s="108"/>
      <c r="I1" s="229" t="s">
        <v>2</v>
      </c>
      <c r="J1" s="230"/>
    </row>
    <row r="2" ht="15.15" spans="1:10">
      <c r="A2" s="109" t="s">
        <v>3</v>
      </c>
      <c r="B2" s="110" t="s">
        <v>4</v>
      </c>
      <c r="C2" s="110" t="s">
        <v>5</v>
      </c>
      <c r="D2" s="110" t="s">
        <v>6</v>
      </c>
      <c r="E2" s="111" t="s">
        <v>7</v>
      </c>
      <c r="F2" s="112"/>
      <c r="G2" s="113" t="s">
        <v>8</v>
      </c>
      <c r="H2" s="114">
        <v>0</v>
      </c>
      <c r="I2" s="113" t="s">
        <v>8</v>
      </c>
      <c r="J2" s="114">
        <v>0</v>
      </c>
    </row>
    <row r="3" spans="1:10">
      <c r="A3" s="115" t="str">
        <f>IF(B3="","",VLOOKUP(B3,PROVEEDORES!$B:$C,2,FALSE))</f>
        <v/>
      </c>
      <c r="B3" s="116"/>
      <c r="C3" s="117"/>
      <c r="D3" s="118"/>
      <c r="E3" s="119">
        <v>0</v>
      </c>
      <c r="G3" s="120" t="s">
        <v>9</v>
      </c>
      <c r="H3" s="121">
        <v>0</v>
      </c>
      <c r="I3" s="120" t="s">
        <v>9</v>
      </c>
      <c r="J3" s="121">
        <v>0</v>
      </c>
    </row>
    <row r="4" ht="15.15" spans="1:10">
      <c r="A4" s="122" t="str">
        <f>IF(B4="","",VLOOKUP(B4,PROVEEDORES!$B:$C,2,FALSE))</f>
        <v/>
      </c>
      <c r="B4" s="116"/>
      <c r="C4" s="116"/>
      <c r="D4" s="12"/>
      <c r="E4" s="123">
        <v>0</v>
      </c>
      <c r="G4" s="124" t="s">
        <v>10</v>
      </c>
      <c r="H4" s="125">
        <v>0</v>
      </c>
      <c r="I4" s="124" t="s">
        <v>10</v>
      </c>
      <c r="J4" s="125">
        <v>0</v>
      </c>
    </row>
    <row r="5" spans="1:10">
      <c r="A5" s="122" t="str">
        <f>IF(B5="","",VLOOKUP(B5,PROVEEDORES!$B:$C,2,FALSE))</f>
        <v/>
      </c>
      <c r="B5" s="116"/>
      <c r="C5" s="116"/>
      <c r="D5" s="12"/>
      <c r="E5" s="123">
        <v>0</v>
      </c>
      <c r="G5" s="120" t="s">
        <v>11</v>
      </c>
      <c r="H5" s="121">
        <v>0</v>
      </c>
      <c r="I5" s="120" t="s">
        <v>11</v>
      </c>
      <c r="J5" s="121">
        <v>0</v>
      </c>
    </row>
    <row r="6" spans="1:10">
      <c r="A6" s="122" t="str">
        <f>IF(B6="","",VLOOKUP(B6,PROVEEDORES!$B:$C,2,FALSE))</f>
        <v/>
      </c>
      <c r="B6" s="116"/>
      <c r="C6" s="116"/>
      <c r="D6" s="12"/>
      <c r="E6" s="123">
        <v>0</v>
      </c>
      <c r="G6" s="126" t="s">
        <v>12</v>
      </c>
      <c r="H6" s="127">
        <v>0</v>
      </c>
      <c r="I6" s="126" t="s">
        <v>12</v>
      </c>
      <c r="J6" s="127">
        <v>0</v>
      </c>
    </row>
    <row r="7" spans="1:10">
      <c r="A7" s="122" t="str">
        <f>IF(B7="","",VLOOKUP(B7,PROVEEDORES!$B:$C,2,FALSE))</f>
        <v/>
      </c>
      <c r="B7" s="116"/>
      <c r="C7" s="116"/>
      <c r="D7" s="12"/>
      <c r="E7" s="123">
        <v>0</v>
      </c>
      <c r="G7" s="126" t="s">
        <v>13</v>
      </c>
      <c r="H7" s="127">
        <v>0</v>
      </c>
      <c r="I7" s="126" t="s">
        <v>13</v>
      </c>
      <c r="J7" s="127">
        <v>0</v>
      </c>
    </row>
    <row r="8" ht="15.15" spans="1:10">
      <c r="A8" s="122" t="str">
        <f>IF(B8="","",VLOOKUP(B8,PROVEEDORES!$B:$C,2,FALSE))</f>
        <v/>
      </c>
      <c r="B8" s="116"/>
      <c r="C8" s="116"/>
      <c r="D8" s="12"/>
      <c r="E8" s="123">
        <v>0</v>
      </c>
      <c r="G8" s="128" t="s">
        <v>14</v>
      </c>
      <c r="H8" s="129">
        <v>0</v>
      </c>
      <c r="I8" s="128" t="s">
        <v>14</v>
      </c>
      <c r="J8" s="129">
        <v>0</v>
      </c>
    </row>
    <row r="9" ht="15.15" spans="1:10">
      <c r="A9" s="122" t="str">
        <f>IF(B9="","",VLOOKUP(B9,PROVEEDORES!$B:$C,2,FALSE))</f>
        <v/>
      </c>
      <c r="B9" s="116"/>
      <c r="C9" s="116"/>
      <c r="D9" s="12" t="s">
        <v>15</v>
      </c>
      <c r="E9" s="123">
        <v>0</v>
      </c>
      <c r="G9" s="130" t="s">
        <v>16</v>
      </c>
      <c r="H9" s="131">
        <f>SUM(H5:H8)</f>
        <v>0</v>
      </c>
      <c r="I9" s="130" t="s">
        <v>16</v>
      </c>
      <c r="J9" s="131">
        <f>SUM(J5:J8)</f>
        <v>0</v>
      </c>
    </row>
    <row r="10" ht="15.15" spans="1:10">
      <c r="A10" s="122" t="str">
        <f>IF(B10="","",VLOOKUP(B10,PROVEEDORES!$B:$C,2,FALSE))</f>
        <v/>
      </c>
      <c r="B10" s="116"/>
      <c r="C10" s="116"/>
      <c r="D10" s="12"/>
      <c r="E10" s="123">
        <v>0</v>
      </c>
      <c r="G10" s="132" t="s">
        <v>17</v>
      </c>
      <c r="H10" s="133">
        <f>+H11-H9</f>
        <v>0</v>
      </c>
      <c r="I10" s="132" t="s">
        <v>17</v>
      </c>
      <c r="J10" s="133">
        <f>+J11-J9</f>
        <v>0</v>
      </c>
    </row>
    <row r="11" ht="15.15" spans="1:10">
      <c r="A11" s="122" t="str">
        <f>IF(B11="","",VLOOKUP(B11,PROVEEDORES!$B:$C,2,FALSE))</f>
        <v/>
      </c>
      <c r="B11" s="116"/>
      <c r="C11" s="116"/>
      <c r="D11" s="12"/>
      <c r="E11" s="123">
        <v>0</v>
      </c>
      <c r="G11" s="134" t="s">
        <v>18</v>
      </c>
      <c r="H11" s="135">
        <v>0</v>
      </c>
      <c r="I11" s="134" t="s">
        <v>18</v>
      </c>
      <c r="J11" s="135">
        <v>0</v>
      </c>
    </row>
    <row r="12" ht="15.15" spans="1:5">
      <c r="A12" s="122" t="str">
        <f>IF(B12="","",VLOOKUP(B12,PROVEEDORES!$B:$C,2,FALSE))</f>
        <v/>
      </c>
      <c r="B12" s="136"/>
      <c r="C12" s="136"/>
      <c r="D12" s="137"/>
      <c r="E12" s="138">
        <v>0</v>
      </c>
    </row>
    <row r="13" ht="15.15" spans="1:9">
      <c r="A13" s="139" t="s">
        <v>19</v>
      </c>
      <c r="B13" s="140"/>
      <c r="C13" s="141">
        <f>SUM(H2,J2)</f>
        <v>0</v>
      </c>
      <c r="D13" s="140" t="s">
        <v>20</v>
      </c>
      <c r="E13" s="141">
        <f>SUM(C13,I37)-C57</f>
        <v>0</v>
      </c>
      <c r="G13" s="142" t="s">
        <v>21</v>
      </c>
      <c r="H13" s="143"/>
      <c r="I13" s="231">
        <f>+C20-(SUM(H9,J9))</f>
        <v>0</v>
      </c>
    </row>
    <row r="14" ht="15.15" spans="1:5">
      <c r="A14" s="144" t="s">
        <v>22</v>
      </c>
      <c r="B14" s="145"/>
      <c r="C14" s="146">
        <f>SUM(H3,J3)</f>
        <v>0</v>
      </c>
      <c r="D14" s="145" t="s">
        <v>23</v>
      </c>
      <c r="E14" s="146">
        <f>SUM(C14,I38)-C58</f>
        <v>0</v>
      </c>
    </row>
    <row r="15" ht="15.15" spans="1:9">
      <c r="A15" s="147" t="s">
        <v>24</v>
      </c>
      <c r="B15" s="148"/>
      <c r="C15" s="149">
        <f>SUM(H4,J4)</f>
        <v>0</v>
      </c>
      <c r="D15" s="148" t="s">
        <v>25</v>
      </c>
      <c r="E15" s="149">
        <f>SUM(C15,I39)-C59</f>
        <v>0</v>
      </c>
      <c r="G15" s="150" t="s">
        <v>26</v>
      </c>
      <c r="H15" s="151"/>
      <c r="I15" s="114">
        <v>0</v>
      </c>
    </row>
    <row r="16" ht="15.15" spans="1:9">
      <c r="A16" s="152" t="s">
        <v>27</v>
      </c>
      <c r="B16" s="153"/>
      <c r="C16" s="154">
        <f>SUM(E3:E12)</f>
        <v>0</v>
      </c>
      <c r="D16" s="155" t="s">
        <v>28</v>
      </c>
      <c r="E16" s="154">
        <f>SUM(C17,I40)</f>
        <v>0</v>
      </c>
      <c r="G16" s="156" t="s">
        <v>14</v>
      </c>
      <c r="H16" s="157"/>
      <c r="I16" s="129">
        <v>0</v>
      </c>
    </row>
    <row r="17" ht="15.15" spans="1:9">
      <c r="A17" s="158" t="s">
        <v>12</v>
      </c>
      <c r="B17" s="159"/>
      <c r="C17" s="160">
        <f>SUM(H6,J6)</f>
        <v>0</v>
      </c>
      <c r="D17" s="161" t="s">
        <v>29</v>
      </c>
      <c r="E17" s="162">
        <f>SUM(C18,I41)</f>
        <v>0</v>
      </c>
      <c r="G17" s="163" t="s">
        <v>30</v>
      </c>
      <c r="H17" s="164"/>
      <c r="I17" s="179">
        <f>SUM(I15,I16)</f>
        <v>0</v>
      </c>
    </row>
    <row r="18" ht="15.15" spans="1:9">
      <c r="A18" s="165" t="s">
        <v>13</v>
      </c>
      <c r="B18" s="166"/>
      <c r="C18" s="160">
        <f>SUM(H7,J7)</f>
        <v>0</v>
      </c>
      <c r="D18" s="167" t="s">
        <v>31</v>
      </c>
      <c r="E18" s="168">
        <f>SUM(C18,I42)-(SUM(E36:E55))</f>
        <v>0</v>
      </c>
      <c r="G18" s="169" t="s">
        <v>17</v>
      </c>
      <c r="H18" s="170"/>
      <c r="I18" s="232">
        <f>+I19-I17</f>
        <v>0</v>
      </c>
    </row>
    <row r="19" ht="15.15" spans="1:9">
      <c r="A19" s="171" t="s">
        <v>14</v>
      </c>
      <c r="B19" s="172"/>
      <c r="C19" s="162">
        <f>SUM(H8,J8)</f>
        <v>0</v>
      </c>
      <c r="D19" s="173" t="s">
        <v>32</v>
      </c>
      <c r="E19" s="174">
        <f>SUM(C19,E20,E57:E59)-(SUM(E23:E34))</f>
        <v>0</v>
      </c>
      <c r="G19" s="175" t="s">
        <v>33</v>
      </c>
      <c r="H19" s="176"/>
      <c r="I19" s="233">
        <f>E19</f>
        <v>0</v>
      </c>
    </row>
    <row r="20" ht="15.15" spans="1:5">
      <c r="A20" s="177" t="s">
        <v>34</v>
      </c>
      <c r="B20" s="178"/>
      <c r="C20" s="179">
        <f>SUM(C16:C19)</f>
        <v>0</v>
      </c>
      <c r="D20" s="180" t="s">
        <v>35</v>
      </c>
      <c r="E20" s="181">
        <f>+I43</f>
        <v>0</v>
      </c>
    </row>
    <row r="21" ht="15.15" spans="1:9">
      <c r="A21" s="182" t="s">
        <v>36</v>
      </c>
      <c r="B21" s="183"/>
      <c r="C21" s="183"/>
      <c r="D21" s="184"/>
      <c r="E21" s="185"/>
      <c r="G21" s="186" t="s">
        <v>37</v>
      </c>
      <c r="H21" s="187"/>
      <c r="I21" s="234"/>
    </row>
    <row r="22" ht="15.15" spans="1:9">
      <c r="A22" s="188" t="s">
        <v>3</v>
      </c>
      <c r="B22" s="189" t="s">
        <v>4</v>
      </c>
      <c r="C22" s="190" t="s">
        <v>5</v>
      </c>
      <c r="D22" s="189" t="s">
        <v>6</v>
      </c>
      <c r="E22" s="191" t="s">
        <v>38</v>
      </c>
      <c r="G22" s="192" t="s">
        <v>39</v>
      </c>
      <c r="H22" s="193" t="s">
        <v>40</v>
      </c>
      <c r="I22" s="235" t="s">
        <v>38</v>
      </c>
    </row>
    <row r="23" spans="1:9">
      <c r="A23" s="194" t="str">
        <f>IF(B23="","",VLOOKUP(B23,PROVEEDORES!$B:$C,2,FALSE))</f>
        <v/>
      </c>
      <c r="B23" s="195"/>
      <c r="C23" s="195"/>
      <c r="D23" s="196"/>
      <c r="E23" s="197">
        <v>0</v>
      </c>
      <c r="G23" s="198" t="s">
        <v>41</v>
      </c>
      <c r="H23" s="199">
        <v>0</v>
      </c>
      <c r="I23" s="236">
        <f>100*H23</f>
        <v>0</v>
      </c>
    </row>
    <row r="24" spans="1:9">
      <c r="A24" s="194" t="str">
        <f>IF(B24="","",VLOOKUP(B24,PROVEEDORES!$B:$C,2,FALSE))</f>
        <v/>
      </c>
      <c r="B24" s="116"/>
      <c r="C24" s="116"/>
      <c r="D24" s="12"/>
      <c r="E24" s="123">
        <v>0</v>
      </c>
      <c r="G24" s="200" t="s">
        <v>42</v>
      </c>
      <c r="H24" s="201">
        <v>0</v>
      </c>
      <c r="I24" s="160">
        <f>200*H24</f>
        <v>0</v>
      </c>
    </row>
    <row r="25" spans="1:9">
      <c r="A25" s="194" t="str">
        <f>IF(B25="","",VLOOKUP(B25,PROVEEDORES!$B:$C,2,FALSE))</f>
        <v/>
      </c>
      <c r="B25" s="116"/>
      <c r="C25" s="116"/>
      <c r="D25" s="12"/>
      <c r="E25" s="123">
        <v>0</v>
      </c>
      <c r="G25" s="200" t="s">
        <v>43</v>
      </c>
      <c r="H25" s="201">
        <v>0</v>
      </c>
      <c r="I25" s="160">
        <f>500*H25</f>
        <v>0</v>
      </c>
    </row>
    <row r="26" spans="1:9">
      <c r="A26" s="194" t="str">
        <f>IF(B26="","",VLOOKUP(B26,PROVEEDORES!$B:$C,2,FALSE))</f>
        <v/>
      </c>
      <c r="B26" s="116"/>
      <c r="C26" s="116"/>
      <c r="D26" s="12"/>
      <c r="E26" s="123">
        <v>0</v>
      </c>
      <c r="G26" s="200" t="s">
        <v>44</v>
      </c>
      <c r="H26" s="201">
        <v>0</v>
      </c>
      <c r="I26" s="160">
        <f>1000*H26</f>
        <v>0</v>
      </c>
    </row>
    <row r="27" spans="1:9">
      <c r="A27" s="194" t="str">
        <f>IF(B27="","",VLOOKUP(B27,PROVEEDORES!$B:$C,2,FALSE))</f>
        <v/>
      </c>
      <c r="B27" s="116"/>
      <c r="C27" s="116"/>
      <c r="D27" s="12"/>
      <c r="E27" s="123">
        <v>0</v>
      </c>
      <c r="G27" s="200" t="s">
        <v>45</v>
      </c>
      <c r="H27" s="201">
        <v>0</v>
      </c>
      <c r="I27" s="160">
        <f>2000*H27</f>
        <v>0</v>
      </c>
    </row>
    <row r="28" spans="1:9">
      <c r="A28" s="194" t="str">
        <f>IF(B28="","",VLOOKUP(B28,PROVEEDORES!$B:$C,2,FALSE))</f>
        <v/>
      </c>
      <c r="B28" s="116"/>
      <c r="C28" s="116"/>
      <c r="D28" s="12"/>
      <c r="E28" s="123">
        <v>0</v>
      </c>
      <c r="G28" s="200" t="s">
        <v>46</v>
      </c>
      <c r="H28" s="201">
        <v>0</v>
      </c>
      <c r="I28" s="160">
        <f>5000*H28</f>
        <v>0</v>
      </c>
    </row>
    <row r="29" spans="1:9">
      <c r="A29" s="194" t="str">
        <f>IF(B29="","",VLOOKUP(B29,PROVEEDORES!$B:$C,2,FALSE))</f>
        <v/>
      </c>
      <c r="B29" s="116"/>
      <c r="C29" s="116"/>
      <c r="D29" s="12"/>
      <c r="E29" s="123">
        <v>0</v>
      </c>
      <c r="G29" s="200" t="s">
        <v>47</v>
      </c>
      <c r="H29" s="201">
        <v>0</v>
      </c>
      <c r="I29" s="160">
        <f>10000*H29</f>
        <v>0</v>
      </c>
    </row>
    <row r="30" spans="1:9">
      <c r="A30" s="194" t="str">
        <f>IF(B30="","",VLOOKUP(B30,PROVEEDORES!$B:$C,2,FALSE))</f>
        <v/>
      </c>
      <c r="B30" s="116"/>
      <c r="C30" s="116"/>
      <c r="D30" s="12"/>
      <c r="E30" s="123">
        <v>0</v>
      </c>
      <c r="G30" s="200" t="s">
        <v>48</v>
      </c>
      <c r="H30" s="201">
        <v>0</v>
      </c>
      <c r="I30" s="160">
        <f>20000*H30</f>
        <v>0</v>
      </c>
    </row>
    <row r="31" spans="1:9">
      <c r="A31" s="194" t="str">
        <f>IF(B31="","",VLOOKUP(B31,PROVEEDORES!$B:$C,2,FALSE))</f>
        <v/>
      </c>
      <c r="B31" s="116"/>
      <c r="C31" s="116"/>
      <c r="D31" s="12"/>
      <c r="E31" s="123">
        <v>0</v>
      </c>
      <c r="G31" s="200" t="s">
        <v>49</v>
      </c>
      <c r="H31" s="201">
        <v>0</v>
      </c>
      <c r="I31" s="160">
        <f>50000*H31</f>
        <v>0</v>
      </c>
    </row>
    <row r="32" ht="15.15" spans="1:9">
      <c r="A32" s="194" t="str">
        <f>IF(B32="","",VLOOKUP(B32,PROVEEDORES!$B:$C,2,FALSE))</f>
        <v/>
      </c>
      <c r="B32" s="116"/>
      <c r="C32" s="116"/>
      <c r="D32" s="12"/>
      <c r="E32" s="123">
        <v>0</v>
      </c>
      <c r="G32" s="202" t="s">
        <v>50</v>
      </c>
      <c r="H32" s="203">
        <v>0</v>
      </c>
      <c r="I32" s="162">
        <f>100000*H32</f>
        <v>0</v>
      </c>
    </row>
    <row r="33" ht="15.15" spans="1:9">
      <c r="A33" s="194" t="str">
        <f>IF(B33="","",VLOOKUP(B33,PROVEEDORES!$B:$C,2,FALSE))</f>
        <v/>
      </c>
      <c r="B33" s="116"/>
      <c r="C33" s="116"/>
      <c r="D33" s="12"/>
      <c r="E33" s="123">
        <v>0</v>
      </c>
      <c r="G33" s="204" t="s">
        <v>32</v>
      </c>
      <c r="H33" s="205"/>
      <c r="I33" s="237">
        <f>SUM(I23:I32)</f>
        <v>0</v>
      </c>
    </row>
    <row r="34" ht="15.15" spans="1:9">
      <c r="A34" s="194" t="str">
        <f>IF(B34="","",VLOOKUP(B34,PROVEEDORES!$B:$C,2,FALSE))</f>
        <v/>
      </c>
      <c r="B34" s="136"/>
      <c r="C34" s="136"/>
      <c r="D34" s="137"/>
      <c r="E34" s="138">
        <v>0</v>
      </c>
      <c r="G34" s="206" t="s">
        <v>51</v>
      </c>
      <c r="H34" s="207"/>
      <c r="I34" s="238">
        <v>0</v>
      </c>
    </row>
    <row r="35" ht="15.15" spans="1:9">
      <c r="A35" s="208" t="s">
        <v>3</v>
      </c>
      <c r="B35" s="209" t="s">
        <v>4</v>
      </c>
      <c r="C35" s="210" t="s">
        <v>5</v>
      </c>
      <c r="D35" s="209" t="s">
        <v>6</v>
      </c>
      <c r="E35" s="211" t="s">
        <v>52</v>
      </c>
      <c r="G35" s="163" t="s">
        <v>53</v>
      </c>
      <c r="H35" s="212"/>
      <c r="I35" s="239">
        <f>I33-I34</f>
        <v>0</v>
      </c>
    </row>
    <row r="36" spans="1:5">
      <c r="A36" s="194" t="str">
        <f>IF(B36="","",VLOOKUP(B36,PROVEEDORES!$B:$C,2,FALSE))</f>
        <v/>
      </c>
      <c r="B36" s="195"/>
      <c r="C36" s="195"/>
      <c r="D36" s="213"/>
      <c r="E36" s="197">
        <v>0</v>
      </c>
    </row>
    <row r="37" spans="1:13">
      <c r="A37" s="194" t="str">
        <f>IF(B37="","",VLOOKUP(B37,PROVEEDORES!$B:$C,2,FALSE))</f>
        <v/>
      </c>
      <c r="B37" s="116"/>
      <c r="C37" s="116"/>
      <c r="D37" s="12"/>
      <c r="E37" s="123">
        <v>0</v>
      </c>
      <c r="G37" s="214" t="s">
        <v>54</v>
      </c>
      <c r="H37" s="214"/>
      <c r="I37" s="240">
        <f>+'30'!E13</f>
        <v>0</v>
      </c>
      <c r="J37" s="241"/>
      <c r="K37" s="241"/>
      <c r="L37" s="241"/>
      <c r="M37" s="241"/>
    </row>
    <row r="38" spans="1:9">
      <c r="A38" s="194" t="str">
        <f>IF(B38="","",VLOOKUP(B38,PROVEEDORES!$B:$C,2,FALSE))</f>
        <v/>
      </c>
      <c r="B38" s="116"/>
      <c r="C38" s="116"/>
      <c r="D38" s="12"/>
      <c r="E38" s="123">
        <v>0</v>
      </c>
      <c r="G38" s="214" t="s">
        <v>55</v>
      </c>
      <c r="H38" s="214"/>
      <c r="I38" s="240">
        <f>+'30'!E14</f>
        <v>0</v>
      </c>
    </row>
    <row r="39" spans="1:9">
      <c r="A39" s="194" t="str">
        <f>IF(B39="","",VLOOKUP(B39,PROVEEDORES!$B:$C,2,FALSE))</f>
        <v/>
      </c>
      <c r="B39" s="116"/>
      <c r="C39" s="116"/>
      <c r="D39" s="12"/>
      <c r="E39" s="123">
        <v>0</v>
      </c>
      <c r="G39" s="214" t="s">
        <v>56</v>
      </c>
      <c r="H39" s="214"/>
      <c r="I39" s="240">
        <f>+'30'!E15</f>
        <v>0</v>
      </c>
    </row>
    <row r="40" spans="1:9">
      <c r="A40" s="194" t="str">
        <f>IF(B40="","",VLOOKUP(B40,PROVEEDORES!$B:$C,2,FALSE))</f>
        <v/>
      </c>
      <c r="B40" s="116"/>
      <c r="C40" s="116"/>
      <c r="D40" s="12"/>
      <c r="E40" s="123">
        <v>0</v>
      </c>
      <c r="G40" s="214" t="s">
        <v>57</v>
      </c>
      <c r="H40" s="214"/>
      <c r="I40" s="240">
        <f>+'30'!E16</f>
        <v>0</v>
      </c>
    </row>
    <row r="41" spans="1:9">
      <c r="A41" s="194" t="str">
        <f>IF(B41="","",VLOOKUP(B41,PROVEEDORES!$B:$C,2,FALSE))</f>
        <v/>
      </c>
      <c r="B41" s="116"/>
      <c r="C41" s="116"/>
      <c r="D41" s="12"/>
      <c r="E41" s="123">
        <v>0</v>
      </c>
      <c r="G41" s="214" t="s">
        <v>58</v>
      </c>
      <c r="H41" s="214"/>
      <c r="I41" s="240">
        <f>+'30'!E17</f>
        <v>0</v>
      </c>
    </row>
    <row r="42" spans="1:9">
      <c r="A42" s="194" t="str">
        <f>IF(B42="","",VLOOKUP(B42,PROVEEDORES!$B:$C,2,FALSE))</f>
        <v/>
      </c>
      <c r="B42" s="116"/>
      <c r="C42" s="116"/>
      <c r="D42" s="12"/>
      <c r="E42" s="123">
        <v>0</v>
      </c>
      <c r="G42" s="214" t="s">
        <v>59</v>
      </c>
      <c r="H42" s="214"/>
      <c r="I42" s="240">
        <f>+'30'!E18</f>
        <v>0</v>
      </c>
    </row>
    <row r="43" spans="1:9">
      <c r="A43" s="194" t="str">
        <f>IF(B43="","",VLOOKUP(B43,PROVEEDORES!$B:$C,2,FALSE))</f>
        <v/>
      </c>
      <c r="B43" s="116"/>
      <c r="C43" s="116"/>
      <c r="D43" s="12"/>
      <c r="E43" s="123">
        <v>0</v>
      </c>
      <c r="G43" s="214" t="s">
        <v>35</v>
      </c>
      <c r="H43" s="214"/>
      <c r="I43" s="240">
        <f>+'30'!E19</f>
        <v>0</v>
      </c>
    </row>
    <row r="44" spans="1:5">
      <c r="A44" s="194" t="str">
        <f>IF(B44="","",VLOOKUP(B44,PROVEEDORES!$B:$C,2,FALSE))</f>
        <v/>
      </c>
      <c r="B44" s="116"/>
      <c r="C44" s="116"/>
      <c r="D44" s="12"/>
      <c r="E44" s="123">
        <v>0</v>
      </c>
    </row>
    <row r="45" spans="1:5">
      <c r="A45" s="194" t="str">
        <f>IF(B45="","",VLOOKUP(B45,PROVEEDORES!$B:$C,2,FALSE))</f>
        <v/>
      </c>
      <c r="B45" s="116"/>
      <c r="C45" s="116"/>
      <c r="D45" s="12"/>
      <c r="E45" s="123">
        <v>0</v>
      </c>
    </row>
    <row r="46" spans="1:5">
      <c r="A46" s="194" t="str">
        <f>IF(B46="","",VLOOKUP(B46,PROVEEDORES!$B:$C,2,FALSE))</f>
        <v/>
      </c>
      <c r="B46" s="116"/>
      <c r="C46" s="116"/>
      <c r="D46" s="12"/>
      <c r="E46" s="123">
        <v>0</v>
      </c>
    </row>
    <row r="47" spans="1:5">
      <c r="A47" s="194" t="str">
        <f>IF(B47="","",VLOOKUP(B47,PROVEEDORES!$B:$C,2,FALSE))</f>
        <v/>
      </c>
      <c r="B47" s="116"/>
      <c r="C47" s="116"/>
      <c r="D47" s="12"/>
      <c r="E47" s="123">
        <v>0</v>
      </c>
    </row>
    <row r="48" spans="1:5">
      <c r="A48" s="194" t="str">
        <f>IF(B48="","",VLOOKUP(B48,PROVEEDORES!$B:$C,2,FALSE))</f>
        <v/>
      </c>
      <c r="B48" s="116"/>
      <c r="C48" s="116"/>
      <c r="D48" s="12"/>
      <c r="E48" s="123">
        <v>0</v>
      </c>
    </row>
    <row r="49" spans="1:5">
      <c r="A49" s="194" t="str">
        <f>IF(B49="","",VLOOKUP(B49,PROVEEDORES!$B:$C,2,FALSE))</f>
        <v/>
      </c>
      <c r="B49" s="116"/>
      <c r="C49" s="116"/>
      <c r="D49" s="12"/>
      <c r="E49" s="123">
        <v>0</v>
      </c>
    </row>
    <row r="50" spans="1:5">
      <c r="A50" s="194" t="str">
        <f>IF(B50="","",VLOOKUP(B50,PROVEEDORES!$B:$C,2,FALSE))</f>
        <v/>
      </c>
      <c r="B50" s="116"/>
      <c r="C50" s="116"/>
      <c r="D50" s="12"/>
      <c r="E50" s="123">
        <v>0</v>
      </c>
    </row>
    <row r="51" spans="1:5">
      <c r="A51" s="194" t="str">
        <f>IF(B51="","",VLOOKUP(B51,PROVEEDORES!$B:$C,2,FALSE))</f>
        <v/>
      </c>
      <c r="B51" s="116"/>
      <c r="C51" s="116"/>
      <c r="D51" s="12"/>
      <c r="E51" s="123">
        <v>0</v>
      </c>
    </row>
    <row r="52" spans="1:5">
      <c r="A52" s="194" t="str">
        <f>IF(B52="","",VLOOKUP(B52,PROVEEDORES!$B:$C,2,FALSE))</f>
        <v/>
      </c>
      <c r="B52" s="116"/>
      <c r="C52" s="116"/>
      <c r="D52" s="12"/>
      <c r="E52" s="123">
        <v>0</v>
      </c>
    </row>
    <row r="53" spans="1:5">
      <c r="A53" s="194" t="str">
        <f>IF(B53="","",VLOOKUP(B53,PROVEEDORES!$B:$C,2,FALSE))</f>
        <v/>
      </c>
      <c r="B53" s="116"/>
      <c r="C53" s="116"/>
      <c r="D53" s="12"/>
      <c r="E53" s="123">
        <v>0</v>
      </c>
    </row>
    <row r="54" spans="1:5">
      <c r="A54" s="194" t="str">
        <f>IF(B54="","",VLOOKUP(B54,PROVEEDORES!$B:$C,2,FALSE))</f>
        <v/>
      </c>
      <c r="B54" s="116"/>
      <c r="C54" s="116"/>
      <c r="D54" s="12"/>
      <c r="E54" s="123">
        <v>0</v>
      </c>
    </row>
    <row r="55" ht="15.15" spans="1:5">
      <c r="A55" s="194" t="str">
        <f>IF(B55="","",VLOOKUP(B55,PROVEEDORES!$B:$C,2,FALSE))</f>
        <v/>
      </c>
      <c r="B55" s="136"/>
      <c r="C55" s="136"/>
      <c r="D55" s="137"/>
      <c r="E55" s="138">
        <v>0</v>
      </c>
    </row>
    <row r="56" ht="15.15" spans="1:5">
      <c r="A56" s="215" t="s">
        <v>60</v>
      </c>
      <c r="B56" s="216"/>
      <c r="C56" s="217"/>
      <c r="D56" s="218" t="s">
        <v>61</v>
      </c>
      <c r="E56" s="219"/>
    </row>
    <row r="57" spans="1:5">
      <c r="A57" s="139" t="s">
        <v>19</v>
      </c>
      <c r="B57" s="140"/>
      <c r="C57" s="220">
        <v>0</v>
      </c>
      <c r="D57" s="221"/>
      <c r="E57" s="222">
        <v>0</v>
      </c>
    </row>
    <row r="58" spans="1:5">
      <c r="A58" s="144" t="s">
        <v>62</v>
      </c>
      <c r="B58" s="145"/>
      <c r="C58" s="223">
        <v>0</v>
      </c>
      <c r="D58" s="224"/>
      <c r="E58" s="225">
        <v>0</v>
      </c>
    </row>
    <row r="59" ht="15.15" spans="1:5">
      <c r="A59" s="147" t="s">
        <v>63</v>
      </c>
      <c r="B59" s="148"/>
      <c r="C59" s="226">
        <v>0</v>
      </c>
      <c r="D59" s="227"/>
      <c r="E59" s="228">
        <v>0</v>
      </c>
    </row>
    <row r="60" spans="1:4">
      <c r="A60" s="101"/>
      <c r="B60" s="101"/>
      <c r="C60" s="101"/>
      <c r="D60" s="101"/>
    </row>
    <row r="61" spans="1:4">
      <c r="A61" s="101"/>
      <c r="B61" s="101"/>
      <c r="C61" s="101"/>
      <c r="D61" s="101"/>
    </row>
    <row r="62" spans="1:4">
      <c r="A62" s="101"/>
      <c r="B62" s="101"/>
      <c r="C62" s="101"/>
      <c r="D62" s="101"/>
    </row>
    <row r="63" spans="1:4">
      <c r="A63" s="101"/>
      <c r="B63" s="101"/>
      <c r="C63" s="101"/>
      <c r="D63" s="101"/>
    </row>
    <row r="64" spans="1:4">
      <c r="A64" s="101"/>
      <c r="B64" s="101"/>
      <c r="C64" s="101"/>
      <c r="D64" s="101"/>
    </row>
    <row r="65" spans="1:4">
      <c r="A65" s="101"/>
      <c r="B65" s="101"/>
      <c r="C65" s="101"/>
      <c r="D65" s="101"/>
    </row>
    <row r="66" spans="1:4">
      <c r="A66" s="101"/>
      <c r="B66" s="101"/>
      <c r="C66" s="101"/>
      <c r="D66" s="101"/>
    </row>
    <row r="67" spans="1:4">
      <c r="A67" s="101"/>
      <c r="B67" s="101"/>
      <c r="C67" s="101"/>
      <c r="D67" s="101"/>
    </row>
    <row r="68" spans="1:4">
      <c r="A68" s="101"/>
      <c r="B68" s="101"/>
      <c r="C68" s="101"/>
      <c r="D68" s="101"/>
    </row>
    <row r="69" spans="1:4">
      <c r="A69" s="101"/>
      <c r="B69" s="101"/>
      <c r="C69" s="101"/>
      <c r="D69" s="101"/>
    </row>
    <row r="70" spans="1:4">
      <c r="A70" s="101"/>
      <c r="B70" s="101"/>
      <c r="C70" s="101"/>
      <c r="D70" s="101"/>
    </row>
    <row r="71" spans="1:4">
      <c r="A71" s="101"/>
      <c r="B71" s="101"/>
      <c r="C71" s="101"/>
      <c r="D71" s="101"/>
    </row>
    <row r="72" spans="1:4">
      <c r="A72" s="101"/>
      <c r="B72" s="101"/>
      <c r="C72" s="101"/>
      <c r="D72" s="101"/>
    </row>
    <row r="73" spans="1:4">
      <c r="A73" s="101"/>
      <c r="B73" s="101"/>
      <c r="C73" s="101"/>
      <c r="D73" s="101"/>
    </row>
    <row r="74" spans="1:4">
      <c r="A74" s="101"/>
      <c r="B74" s="101"/>
      <c r="C74" s="101"/>
      <c r="D74" s="101"/>
    </row>
    <row r="75" spans="1:4">
      <c r="A75" s="101"/>
      <c r="B75" s="101"/>
      <c r="C75" s="101"/>
      <c r="D75" s="101"/>
    </row>
    <row r="76" spans="1:4">
      <c r="A76" s="101"/>
      <c r="B76" s="101"/>
      <c r="C76" s="101"/>
      <c r="D76" s="101"/>
    </row>
    <row r="77" spans="1:4">
      <c r="A77" s="101"/>
      <c r="B77" s="101"/>
      <c r="C77" s="101"/>
      <c r="D77" s="101"/>
    </row>
    <row r="78" spans="1:4">
      <c r="A78" s="101"/>
      <c r="B78" s="101"/>
      <c r="C78" s="101"/>
      <c r="D78" s="101"/>
    </row>
    <row r="79" spans="1:4">
      <c r="A79" s="101"/>
      <c r="B79" s="101"/>
      <c r="C79" s="101"/>
      <c r="D79" s="101"/>
    </row>
    <row r="80" spans="1:4">
      <c r="A80" s="101"/>
      <c r="B80" s="101"/>
      <c r="C80" s="101"/>
      <c r="D80" s="101"/>
    </row>
    <row r="81" spans="1:4">
      <c r="A81" s="101"/>
      <c r="B81" s="101"/>
      <c r="C81" s="101"/>
      <c r="D81" s="101"/>
    </row>
    <row r="82" spans="1:4">
      <c r="A82" s="101"/>
      <c r="B82" s="101"/>
      <c r="C82" s="101"/>
      <c r="D82" s="101"/>
    </row>
    <row r="83" spans="1:4">
      <c r="A83" s="101"/>
      <c r="B83" s="101"/>
      <c r="C83" s="101"/>
      <c r="D83" s="101"/>
    </row>
    <row r="84" spans="1:4">
      <c r="A84" s="101"/>
      <c r="B84" s="101"/>
      <c r="C84" s="101"/>
      <c r="D84" s="101"/>
    </row>
    <row r="85" spans="1:4">
      <c r="A85" s="101"/>
      <c r="B85" s="101"/>
      <c r="C85" s="101"/>
      <c r="D85" s="101"/>
    </row>
    <row r="86" spans="1:4">
      <c r="A86" s="101"/>
      <c r="B86" s="101"/>
      <c r="C86" s="101"/>
      <c r="D86" s="101"/>
    </row>
    <row r="87" spans="1:4">
      <c r="A87" s="101"/>
      <c r="B87" s="101"/>
      <c r="C87" s="101"/>
      <c r="D87" s="101"/>
    </row>
    <row r="88" spans="1:4">
      <c r="A88" s="101"/>
      <c r="B88" s="101"/>
      <c r="C88" s="101"/>
      <c r="D88" s="101"/>
    </row>
    <row r="89" spans="1:4">
      <c r="A89" s="101"/>
      <c r="B89" s="101"/>
      <c r="C89" s="101"/>
      <c r="D89" s="101"/>
    </row>
    <row r="90" spans="1:4">
      <c r="A90" s="101"/>
      <c r="B90" s="101"/>
      <c r="C90" s="101"/>
      <c r="D90" s="101"/>
    </row>
    <row r="91" spans="1:4">
      <c r="A91" s="101"/>
      <c r="B91" s="101"/>
      <c r="C91" s="101"/>
      <c r="D91" s="101"/>
    </row>
    <row r="92" spans="1:4">
      <c r="A92" s="101"/>
      <c r="B92" s="101"/>
      <c r="C92" s="101"/>
      <c r="D92" s="101"/>
    </row>
    <row r="93" spans="1:4">
      <c r="A93" s="101"/>
      <c r="B93" s="101"/>
      <c r="C93" s="101"/>
      <c r="D93" s="101"/>
    </row>
    <row r="94" spans="1:4">
      <c r="A94" s="101"/>
      <c r="B94" s="101"/>
      <c r="C94" s="101"/>
      <c r="D94" s="101"/>
    </row>
    <row r="95" spans="1:4">
      <c r="A95" s="101"/>
      <c r="B95" s="101"/>
      <c r="C95" s="101"/>
      <c r="D95" s="101"/>
    </row>
    <row r="96" spans="1:4">
      <c r="A96" s="101"/>
      <c r="B96" s="101"/>
      <c r="C96" s="101"/>
      <c r="D96" s="101"/>
    </row>
    <row r="97" spans="1:4">
      <c r="A97" s="101"/>
      <c r="B97" s="101"/>
      <c r="C97" s="101"/>
      <c r="D97" s="101"/>
    </row>
    <row r="98" spans="1:4">
      <c r="A98" s="101"/>
      <c r="B98" s="101"/>
      <c r="C98" s="101"/>
      <c r="D98" s="101"/>
    </row>
    <row r="99" spans="1:4">
      <c r="A99" s="101"/>
      <c r="B99" s="101"/>
      <c r="C99" s="101"/>
      <c r="D99" s="101"/>
    </row>
    <row r="100" spans="1:4">
      <c r="A100" s="101"/>
      <c r="B100" s="101"/>
      <c r="C100" s="101"/>
      <c r="D100" s="101"/>
    </row>
    <row r="101" spans="1:4">
      <c r="A101" s="101"/>
      <c r="B101" s="101"/>
      <c r="C101" s="101"/>
      <c r="D101" s="101"/>
    </row>
    <row r="102" spans="1:4">
      <c r="A102" s="101"/>
      <c r="B102" s="101"/>
      <c r="C102" s="101"/>
      <c r="D102" s="101"/>
    </row>
    <row r="103" spans="1:4">
      <c r="A103" s="101"/>
      <c r="B103" s="101"/>
      <c r="C103" s="101"/>
      <c r="D103" s="101"/>
    </row>
    <row r="104" spans="1:4">
      <c r="A104" s="101"/>
      <c r="B104" s="101"/>
      <c r="C104" s="101"/>
      <c r="D104" s="101"/>
    </row>
    <row r="105" spans="1:4">
      <c r="A105" s="101"/>
      <c r="B105" s="101"/>
      <c r="C105" s="101"/>
      <c r="D105" s="101"/>
    </row>
    <row r="106" spans="1:4">
      <c r="A106" s="101"/>
      <c r="B106" s="101"/>
      <c r="C106" s="101"/>
      <c r="D106" s="101"/>
    </row>
    <row r="107" spans="1:4">
      <c r="A107" s="101"/>
      <c r="B107" s="101"/>
      <c r="C107" s="101"/>
      <c r="D107" s="101"/>
    </row>
    <row r="108" spans="1:4">
      <c r="A108" s="101"/>
      <c r="B108" s="101"/>
      <c r="C108" s="101"/>
      <c r="D108" s="101"/>
    </row>
    <row r="109" spans="1:4">
      <c r="A109" s="101"/>
      <c r="B109" s="101"/>
      <c r="C109" s="101"/>
      <c r="D109" s="101"/>
    </row>
    <row r="110" spans="1:4">
      <c r="A110" s="101"/>
      <c r="B110" s="101"/>
      <c r="C110" s="101"/>
      <c r="D110" s="101"/>
    </row>
    <row r="111" spans="1:4">
      <c r="A111" s="101"/>
      <c r="B111" s="101"/>
      <c r="C111" s="101"/>
      <c r="D111" s="101"/>
    </row>
    <row r="112" spans="1:4">
      <c r="A112" s="101"/>
      <c r="B112" s="101"/>
      <c r="C112" s="101"/>
      <c r="D112" s="101"/>
    </row>
    <row r="113" spans="1:4">
      <c r="A113" s="101"/>
      <c r="B113" s="101"/>
      <c r="C113" s="101"/>
      <c r="D113" s="101"/>
    </row>
    <row r="114" spans="1:4">
      <c r="A114" s="101"/>
      <c r="B114" s="101"/>
      <c r="C114" s="101"/>
      <c r="D114" s="101"/>
    </row>
    <row r="115" spans="1:4">
      <c r="A115" s="101"/>
      <c r="B115" s="101"/>
      <c r="C115" s="101"/>
      <c r="D115" s="101"/>
    </row>
    <row r="116" spans="1:4">
      <c r="A116" s="101"/>
      <c r="B116" s="101"/>
      <c r="C116" s="101"/>
      <c r="D116" s="101"/>
    </row>
    <row r="117" spans="1:4">
      <c r="A117" s="101"/>
      <c r="B117" s="101"/>
      <c r="C117" s="101"/>
      <c r="D117" s="101"/>
    </row>
    <row r="118" spans="1:4">
      <c r="A118" s="101"/>
      <c r="B118" s="101"/>
      <c r="C118" s="101"/>
      <c r="D118" s="101"/>
    </row>
    <row r="119" spans="1:4">
      <c r="A119" s="101"/>
      <c r="B119" s="101"/>
      <c r="C119" s="101"/>
      <c r="D119" s="101"/>
    </row>
    <row r="120" spans="1:4">
      <c r="A120" s="101"/>
      <c r="B120" s="101"/>
      <c r="C120" s="101"/>
      <c r="D120" s="101"/>
    </row>
    <row r="121" spans="1:4">
      <c r="A121" s="101"/>
      <c r="B121" s="101"/>
      <c r="C121" s="101"/>
      <c r="D121" s="101"/>
    </row>
    <row r="122" spans="1:4">
      <c r="A122" s="101"/>
      <c r="B122" s="101"/>
      <c r="C122" s="101"/>
      <c r="D122" s="101"/>
    </row>
    <row r="123" spans="1:4">
      <c r="A123" s="101"/>
      <c r="B123" s="101"/>
      <c r="C123" s="101"/>
      <c r="D123" s="101"/>
    </row>
    <row r="124" spans="1:4">
      <c r="A124" s="101"/>
      <c r="B124" s="101"/>
      <c r="C124" s="101"/>
      <c r="D124" s="101"/>
    </row>
    <row r="125" spans="1:4">
      <c r="A125" s="101"/>
      <c r="B125" s="101"/>
      <c r="C125" s="101"/>
      <c r="D125" s="101"/>
    </row>
    <row r="126" spans="1:4">
      <c r="A126" s="101"/>
      <c r="B126" s="101"/>
      <c r="C126" s="101"/>
      <c r="D126" s="101"/>
    </row>
    <row r="127" spans="1:4">
      <c r="A127" s="101"/>
      <c r="B127" s="101"/>
      <c r="C127" s="101"/>
      <c r="D127" s="101"/>
    </row>
    <row r="128" spans="1:4">
      <c r="A128" s="101"/>
      <c r="B128" s="101"/>
      <c r="C128" s="101"/>
      <c r="D128" s="101"/>
    </row>
    <row r="129" spans="1:4">
      <c r="A129" s="101"/>
      <c r="B129" s="101"/>
      <c r="C129" s="101"/>
      <c r="D129" s="101"/>
    </row>
    <row r="130" spans="1:4">
      <c r="A130" s="101"/>
      <c r="B130" s="101"/>
      <c r="C130" s="101"/>
      <c r="D130" s="101"/>
    </row>
    <row r="131" spans="1:4">
      <c r="A131" s="101"/>
      <c r="B131" s="101"/>
      <c r="C131" s="101"/>
      <c r="D131" s="101"/>
    </row>
    <row r="132" spans="1:4">
      <c r="A132" s="101"/>
      <c r="B132" s="101"/>
      <c r="C132" s="101"/>
      <c r="D132" s="101"/>
    </row>
    <row r="133" spans="1:4">
      <c r="A133" s="101"/>
      <c r="B133" s="101"/>
      <c r="C133" s="101"/>
      <c r="D133" s="101"/>
    </row>
    <row r="134" spans="1:4">
      <c r="A134" s="101"/>
      <c r="B134" s="101"/>
      <c r="C134" s="101"/>
      <c r="D134" s="101"/>
    </row>
    <row r="135" spans="1:4">
      <c r="A135" s="101"/>
      <c r="B135" s="101"/>
      <c r="C135" s="101"/>
      <c r="D135" s="101"/>
    </row>
    <row r="136" spans="1:4">
      <c r="A136" s="101"/>
      <c r="B136" s="101"/>
      <c r="C136" s="101"/>
      <c r="D136" s="101"/>
    </row>
    <row r="137" spans="1:4">
      <c r="A137" s="101"/>
      <c r="B137" s="101"/>
      <c r="C137" s="101"/>
      <c r="D137" s="101"/>
    </row>
    <row r="138" spans="1:4">
      <c r="A138" s="101"/>
      <c r="B138" s="101"/>
      <c r="C138" s="101"/>
      <c r="D138" s="101"/>
    </row>
    <row r="139" spans="1:4">
      <c r="A139" s="101"/>
      <c r="B139" s="101"/>
      <c r="C139" s="101"/>
      <c r="D139" s="101"/>
    </row>
    <row r="140" spans="1:4">
      <c r="A140" s="101"/>
      <c r="B140" s="101"/>
      <c r="C140" s="101"/>
      <c r="D140" s="101"/>
    </row>
    <row r="141" spans="1:4">
      <c r="A141" s="101"/>
      <c r="B141" s="101"/>
      <c r="C141" s="101"/>
      <c r="D141" s="101"/>
    </row>
    <row r="142" spans="1:4">
      <c r="A142" s="101"/>
      <c r="B142" s="101"/>
      <c r="C142" s="101"/>
      <c r="D142" s="101"/>
    </row>
    <row r="143" spans="1:4">
      <c r="A143" s="101"/>
      <c r="B143" s="101"/>
      <c r="C143" s="101"/>
      <c r="D143" s="101"/>
    </row>
    <row r="144" spans="1:4">
      <c r="A144" s="101"/>
      <c r="B144" s="101"/>
      <c r="C144" s="101"/>
      <c r="D144" s="101"/>
    </row>
    <row r="145" spans="1:4">
      <c r="A145" s="101"/>
      <c r="B145" s="101"/>
      <c r="C145" s="101"/>
      <c r="D145" s="101"/>
    </row>
    <row r="146" spans="1:4">
      <c r="A146" s="101"/>
      <c r="B146" s="101"/>
      <c r="C146" s="101"/>
      <c r="D146" s="101"/>
    </row>
    <row r="147" spans="1:4">
      <c r="A147" s="101"/>
      <c r="B147" s="101"/>
      <c r="C147" s="101"/>
      <c r="D147" s="101"/>
    </row>
    <row r="148" spans="1:4">
      <c r="A148" s="101"/>
      <c r="B148" s="101"/>
      <c r="C148" s="101"/>
      <c r="D148" s="101"/>
    </row>
    <row r="149" spans="1:4">
      <c r="A149" s="101"/>
      <c r="B149" s="101"/>
      <c r="C149" s="101"/>
      <c r="D149" s="101"/>
    </row>
    <row r="150" spans="1:4">
      <c r="A150" s="101"/>
      <c r="B150" s="101"/>
      <c r="C150" s="101"/>
      <c r="D150" s="101"/>
    </row>
    <row r="151" spans="1:4">
      <c r="A151" s="101"/>
      <c r="B151" s="101"/>
      <c r="C151" s="101"/>
      <c r="D151" s="101"/>
    </row>
    <row r="152" spans="1:4">
      <c r="A152" s="101"/>
      <c r="B152" s="101"/>
      <c r="C152" s="101"/>
      <c r="D152" s="101"/>
    </row>
    <row r="153" spans="1:4">
      <c r="A153" s="101"/>
      <c r="B153" s="101"/>
      <c r="C153" s="101"/>
      <c r="D153" s="101"/>
    </row>
    <row r="154" spans="1:4">
      <c r="A154" s="101"/>
      <c r="B154" s="101"/>
      <c r="C154" s="101"/>
      <c r="D154" s="101"/>
    </row>
    <row r="155" spans="1:4">
      <c r="A155" s="101"/>
      <c r="B155" s="101"/>
      <c r="C155" s="101"/>
      <c r="D155" s="101"/>
    </row>
    <row r="156" spans="1:4">
      <c r="A156" s="101"/>
      <c r="B156" s="101"/>
      <c r="C156" s="101"/>
      <c r="D156" s="101"/>
    </row>
    <row r="157" spans="1:4">
      <c r="A157" s="101"/>
      <c r="B157" s="101"/>
      <c r="C157" s="101"/>
      <c r="D157" s="101"/>
    </row>
    <row r="158" spans="1:4">
      <c r="A158" s="101"/>
      <c r="B158" s="101"/>
      <c r="C158" s="101"/>
      <c r="D158" s="101"/>
    </row>
    <row r="159" spans="1:4">
      <c r="A159" s="101"/>
      <c r="B159" s="101"/>
      <c r="C159" s="101"/>
      <c r="D159" s="101"/>
    </row>
    <row r="160" spans="1:4">
      <c r="A160" s="101"/>
      <c r="B160" s="101"/>
      <c r="C160" s="101"/>
      <c r="D160" s="101"/>
    </row>
    <row r="161" spans="1:4">
      <c r="A161" s="101"/>
      <c r="B161" s="101"/>
      <c r="C161" s="101"/>
      <c r="D161" s="101"/>
    </row>
    <row r="162" spans="1:4">
      <c r="A162" s="101"/>
      <c r="B162" s="101"/>
      <c r="C162" s="101"/>
      <c r="D162" s="101"/>
    </row>
    <row r="163" spans="1:4">
      <c r="A163" s="101"/>
      <c r="B163" s="101"/>
      <c r="C163" s="101"/>
      <c r="D163" s="101"/>
    </row>
    <row r="164" spans="1:4">
      <c r="A164" s="101"/>
      <c r="B164" s="101"/>
      <c r="C164" s="101"/>
      <c r="D164" s="101"/>
    </row>
    <row r="165" spans="1:4">
      <c r="A165" s="101"/>
      <c r="B165" s="101"/>
      <c r="C165" s="101"/>
      <c r="D165" s="101"/>
    </row>
    <row r="166" spans="1:4">
      <c r="A166" s="101"/>
      <c r="B166" s="101"/>
      <c r="C166" s="101"/>
      <c r="D166" s="101"/>
    </row>
    <row r="167" spans="1:4">
      <c r="A167" s="101"/>
      <c r="B167" s="101"/>
      <c r="C167" s="101"/>
      <c r="D167" s="101"/>
    </row>
    <row r="168" spans="1:4">
      <c r="A168" s="101"/>
      <c r="B168" s="101"/>
      <c r="C168" s="101"/>
      <c r="D168" s="101"/>
    </row>
    <row r="169" spans="1:4">
      <c r="A169" s="101"/>
      <c r="B169" s="101"/>
      <c r="C169" s="101"/>
      <c r="D169" s="101"/>
    </row>
    <row r="170" spans="1:4">
      <c r="A170" s="101"/>
      <c r="B170" s="101"/>
      <c r="C170" s="101"/>
      <c r="D170" s="101"/>
    </row>
    <row r="171" spans="1:4">
      <c r="A171" s="101"/>
      <c r="B171" s="101"/>
      <c r="C171" s="101"/>
      <c r="D171" s="101"/>
    </row>
    <row r="172" spans="1:4">
      <c r="A172" s="101"/>
      <c r="B172" s="101"/>
      <c r="C172" s="101"/>
      <c r="D172" s="101"/>
    </row>
    <row r="173" spans="1:4">
      <c r="A173" s="101"/>
      <c r="B173" s="101"/>
      <c r="C173" s="101"/>
      <c r="D173" s="101"/>
    </row>
    <row r="174" spans="1:4">
      <c r="A174" s="101"/>
      <c r="B174" s="101"/>
      <c r="C174" s="101"/>
      <c r="D174" s="101"/>
    </row>
    <row r="175" spans="1:4">
      <c r="A175" s="101"/>
      <c r="B175" s="101"/>
      <c r="C175" s="101"/>
      <c r="D175" s="101"/>
    </row>
    <row r="176" spans="1:4">
      <c r="A176" s="101"/>
      <c r="B176" s="101"/>
      <c r="C176" s="101"/>
      <c r="D176" s="101"/>
    </row>
    <row r="177" spans="1:4">
      <c r="A177" s="101"/>
      <c r="B177" s="101"/>
      <c r="C177" s="101"/>
      <c r="D177" s="101"/>
    </row>
    <row r="178" spans="1:4">
      <c r="A178" s="101"/>
      <c r="B178" s="101"/>
      <c r="C178" s="101"/>
      <c r="D178" s="101"/>
    </row>
    <row r="179" spans="1:4">
      <c r="A179" s="101"/>
      <c r="B179" s="101"/>
      <c r="C179" s="101"/>
      <c r="D179" s="101"/>
    </row>
    <row r="180" spans="1:4">
      <c r="A180" s="101"/>
      <c r="B180" s="101"/>
      <c r="C180" s="101"/>
      <c r="D180" s="101"/>
    </row>
    <row r="181" spans="1:4">
      <c r="A181" s="101"/>
      <c r="B181" s="101"/>
      <c r="C181" s="101"/>
      <c r="D181" s="101"/>
    </row>
    <row r="182" spans="1:4">
      <c r="A182" s="101"/>
      <c r="B182" s="101"/>
      <c r="C182" s="101"/>
      <c r="D182" s="101"/>
    </row>
    <row r="183" spans="1:4">
      <c r="A183" s="101"/>
      <c r="B183" s="101"/>
      <c r="C183" s="101"/>
      <c r="D183" s="101"/>
    </row>
    <row r="184" spans="1:4">
      <c r="A184" s="101"/>
      <c r="B184" s="101"/>
      <c r="C184" s="101"/>
      <c r="D184" s="101"/>
    </row>
    <row r="185" spans="1:4">
      <c r="A185" s="101"/>
      <c r="B185" s="101"/>
      <c r="C185" s="101"/>
      <c r="D185" s="101"/>
    </row>
    <row r="186" spans="1:4">
      <c r="A186" s="101"/>
      <c r="B186" s="101"/>
      <c r="C186" s="101"/>
      <c r="D186" s="101"/>
    </row>
    <row r="187" spans="1:4">
      <c r="A187" s="101"/>
      <c r="B187" s="101"/>
      <c r="C187" s="101"/>
      <c r="D187" s="101"/>
    </row>
    <row r="188" spans="1:4">
      <c r="A188" s="101"/>
      <c r="B188" s="101"/>
      <c r="C188" s="101"/>
      <c r="D188" s="101"/>
    </row>
    <row r="189" spans="1:4">
      <c r="A189" s="101"/>
      <c r="B189" s="101"/>
      <c r="C189" s="101"/>
      <c r="D189" s="101"/>
    </row>
    <row r="190" spans="1:4">
      <c r="A190" s="101"/>
      <c r="B190" s="101"/>
      <c r="C190" s="101"/>
      <c r="D190" s="101"/>
    </row>
    <row r="191" spans="1:4">
      <c r="A191" s="101"/>
      <c r="B191" s="101"/>
      <c r="C191" s="101"/>
      <c r="D191" s="101"/>
    </row>
    <row r="192" spans="1:4">
      <c r="A192" s="101"/>
      <c r="B192" s="101"/>
      <c r="C192" s="101"/>
      <c r="D192" s="101"/>
    </row>
    <row r="193" spans="1:4">
      <c r="A193" s="101"/>
      <c r="B193" s="101"/>
      <c r="C193" s="101"/>
      <c r="D193" s="101"/>
    </row>
    <row r="194" spans="1:4">
      <c r="A194" s="101"/>
      <c r="B194" s="101"/>
      <c r="C194" s="101"/>
      <c r="D194" s="101"/>
    </row>
    <row r="195" spans="1:4">
      <c r="A195" s="101"/>
      <c r="B195" s="101"/>
      <c r="C195" s="101"/>
      <c r="D195" s="101"/>
    </row>
    <row r="196" spans="1:4">
      <c r="A196" s="101"/>
      <c r="B196" s="101"/>
      <c r="C196" s="101"/>
      <c r="D196" s="101"/>
    </row>
    <row r="197" spans="1:4">
      <c r="A197" s="101"/>
      <c r="B197" s="101"/>
      <c r="C197" s="101"/>
      <c r="D197" s="101"/>
    </row>
    <row r="198" spans="1:4">
      <c r="A198" s="101"/>
      <c r="B198" s="101"/>
      <c r="C198" s="101"/>
      <c r="D198" s="101"/>
    </row>
    <row r="199" spans="1:4">
      <c r="A199" s="101"/>
      <c r="B199" s="101"/>
      <c r="C199" s="101"/>
      <c r="D199" s="101"/>
    </row>
    <row r="200" spans="1:4">
      <c r="A200" s="101"/>
      <c r="B200" s="101"/>
      <c r="C200" s="101"/>
      <c r="D200" s="101"/>
    </row>
    <row r="201" spans="1:4">
      <c r="A201" s="101"/>
      <c r="B201" s="101"/>
      <c r="C201" s="101"/>
      <c r="D201" s="101"/>
    </row>
    <row r="202" spans="1:4">
      <c r="A202" s="101"/>
      <c r="B202" s="101"/>
      <c r="C202" s="101"/>
      <c r="D202" s="101"/>
    </row>
    <row r="203" spans="1:4">
      <c r="A203" s="101"/>
      <c r="B203" s="101"/>
      <c r="C203" s="101"/>
      <c r="D203" s="101"/>
    </row>
    <row r="204" spans="1:4">
      <c r="A204" s="101"/>
      <c r="B204" s="101"/>
      <c r="C204" s="101"/>
      <c r="D204" s="101"/>
    </row>
    <row r="205" spans="1:4">
      <c r="A205" s="101"/>
      <c r="B205" s="101"/>
      <c r="C205" s="101"/>
      <c r="D205" s="101"/>
    </row>
    <row r="206" spans="1:4">
      <c r="A206" s="101"/>
      <c r="B206" s="101"/>
      <c r="C206" s="101"/>
      <c r="D206" s="101"/>
    </row>
    <row r="207" spans="1:4">
      <c r="A207" s="101"/>
      <c r="B207" s="101"/>
      <c r="C207" s="101"/>
      <c r="D207" s="101"/>
    </row>
    <row r="208" spans="1:4">
      <c r="A208" s="101"/>
      <c r="B208" s="101"/>
      <c r="C208" s="101"/>
      <c r="D208" s="101"/>
    </row>
    <row r="209" spans="1:4">
      <c r="A209" s="101"/>
      <c r="B209" s="101"/>
      <c r="C209" s="101"/>
      <c r="D209" s="101"/>
    </row>
    <row r="210" spans="1:4">
      <c r="A210" s="101"/>
      <c r="B210" s="101"/>
      <c r="C210" s="101"/>
      <c r="D210" s="101"/>
    </row>
    <row r="211" spans="1:4">
      <c r="A211" s="101"/>
      <c r="B211" s="101"/>
      <c r="C211" s="101"/>
      <c r="D211" s="101"/>
    </row>
    <row r="212" spans="1:4">
      <c r="A212" s="101"/>
      <c r="B212" s="101"/>
      <c r="C212" s="101"/>
      <c r="D212" s="101"/>
    </row>
    <row r="213" spans="1:4">
      <c r="A213" s="101"/>
      <c r="B213" s="101"/>
      <c r="C213" s="101"/>
      <c r="D213" s="101"/>
    </row>
    <row r="214" spans="1:4">
      <c r="A214" s="101"/>
      <c r="B214" s="101"/>
      <c r="C214" s="101"/>
      <c r="D214" s="101"/>
    </row>
    <row r="215" spans="1:4">
      <c r="A215" s="101"/>
      <c r="B215" s="101"/>
      <c r="C215" s="101"/>
      <c r="D215" s="101"/>
    </row>
    <row r="216" spans="1:4">
      <c r="A216" s="101"/>
      <c r="B216" s="101"/>
      <c r="C216" s="101"/>
      <c r="D216" s="101"/>
    </row>
    <row r="217" spans="1:4">
      <c r="A217" s="101"/>
      <c r="B217" s="101"/>
      <c r="C217" s="101"/>
      <c r="D217" s="101"/>
    </row>
    <row r="218" spans="1:4">
      <c r="A218" s="101"/>
      <c r="B218" s="101"/>
      <c r="C218" s="101"/>
      <c r="D218" s="101"/>
    </row>
    <row r="219" spans="1:4">
      <c r="A219" s="101"/>
      <c r="B219" s="101"/>
      <c r="C219" s="101"/>
      <c r="D219" s="101"/>
    </row>
    <row r="220" spans="1:4">
      <c r="A220" s="101"/>
      <c r="B220" s="101"/>
      <c r="C220" s="101"/>
      <c r="D220" s="101"/>
    </row>
    <row r="221" spans="1:4">
      <c r="A221" s="101"/>
      <c r="B221" s="101"/>
      <c r="C221" s="101"/>
      <c r="D221" s="101"/>
    </row>
    <row r="222" spans="1:4">
      <c r="A222" s="101"/>
      <c r="B222" s="101"/>
      <c r="C222" s="101"/>
      <c r="D222" s="101"/>
    </row>
    <row r="223" spans="1:4">
      <c r="A223" s="101"/>
      <c r="B223" s="101"/>
      <c r="C223" s="101"/>
      <c r="D223" s="101"/>
    </row>
    <row r="224" spans="1:4">
      <c r="A224" s="101"/>
      <c r="B224" s="101"/>
      <c r="C224" s="101"/>
      <c r="D224" s="101"/>
    </row>
    <row r="225" spans="1:4">
      <c r="A225" s="101"/>
      <c r="B225" s="101"/>
      <c r="C225" s="101"/>
      <c r="D225" s="101"/>
    </row>
    <row r="226" spans="1:4">
      <c r="A226" s="101"/>
      <c r="B226" s="101"/>
      <c r="C226" s="101"/>
      <c r="D226" s="101"/>
    </row>
    <row r="227" spans="1:4">
      <c r="A227" s="101"/>
      <c r="B227" s="101"/>
      <c r="C227" s="101"/>
      <c r="D227" s="101"/>
    </row>
    <row r="228" spans="1:4">
      <c r="A228" s="101"/>
      <c r="B228" s="101"/>
      <c r="C228" s="101"/>
      <c r="D228" s="101"/>
    </row>
    <row r="229" spans="1:4">
      <c r="A229" s="101"/>
      <c r="B229" s="101"/>
      <c r="C229" s="101"/>
      <c r="D229" s="101"/>
    </row>
    <row r="230" spans="1:4">
      <c r="A230" s="101"/>
      <c r="B230" s="101"/>
      <c r="C230" s="101"/>
      <c r="D230" s="101"/>
    </row>
    <row r="231" spans="1:4">
      <c r="A231" s="101"/>
      <c r="B231" s="101"/>
      <c r="C231" s="101"/>
      <c r="D231" s="101"/>
    </row>
    <row r="232" spans="1:4">
      <c r="A232" s="101"/>
      <c r="B232" s="101"/>
      <c r="C232" s="101"/>
      <c r="D232" s="101"/>
    </row>
    <row r="233" spans="1:4">
      <c r="A233" s="101"/>
      <c r="B233" s="101"/>
      <c r="C233" s="101"/>
      <c r="D233" s="101"/>
    </row>
    <row r="234" spans="1:4">
      <c r="A234" s="101"/>
      <c r="B234" s="101"/>
      <c r="C234" s="101"/>
      <c r="D234" s="101"/>
    </row>
    <row r="235" spans="1:4">
      <c r="A235" s="101"/>
      <c r="B235" s="101"/>
      <c r="C235" s="101"/>
      <c r="D235" s="101"/>
    </row>
    <row r="236" spans="1:4">
      <c r="A236" s="101"/>
      <c r="B236" s="101"/>
      <c r="C236" s="101"/>
      <c r="D236" s="101"/>
    </row>
    <row r="237" spans="1:4">
      <c r="A237" s="101"/>
      <c r="B237" s="101"/>
      <c r="C237" s="101"/>
      <c r="D237" s="101"/>
    </row>
    <row r="238" spans="1:4">
      <c r="A238" s="101"/>
      <c r="B238" s="101"/>
      <c r="C238" s="101"/>
      <c r="D238" s="101"/>
    </row>
    <row r="239" spans="1:4">
      <c r="A239" s="101"/>
      <c r="B239" s="101"/>
      <c r="C239" s="101"/>
      <c r="D239" s="101"/>
    </row>
    <row r="240" spans="1:4">
      <c r="A240" s="101"/>
      <c r="B240" s="101"/>
      <c r="C240" s="101"/>
      <c r="D240" s="101"/>
    </row>
    <row r="241" spans="1:4">
      <c r="A241" s="101"/>
      <c r="B241" s="101"/>
      <c r="C241" s="101"/>
      <c r="D241" s="101"/>
    </row>
    <row r="242" spans="1:4">
      <c r="A242" s="101"/>
      <c r="B242" s="101"/>
      <c r="C242" s="101"/>
      <c r="D242" s="101"/>
    </row>
    <row r="243" spans="1:4">
      <c r="A243" s="101"/>
      <c r="B243" s="101"/>
      <c r="C243" s="101"/>
      <c r="D243" s="101"/>
    </row>
    <row r="244" spans="1:4">
      <c r="A244" s="101"/>
      <c r="B244" s="101"/>
      <c r="C244" s="101"/>
      <c r="D244" s="101"/>
    </row>
    <row r="245" spans="1:4">
      <c r="A245" s="101"/>
      <c r="B245" s="101"/>
      <c r="C245" s="101"/>
      <c r="D245" s="101"/>
    </row>
    <row r="246" spans="1:4">
      <c r="A246" s="101"/>
      <c r="B246" s="101"/>
      <c r="C246" s="101"/>
      <c r="D246" s="101"/>
    </row>
    <row r="247" spans="1:4">
      <c r="A247" s="101"/>
      <c r="B247" s="101"/>
      <c r="C247" s="101"/>
      <c r="D247" s="101"/>
    </row>
    <row r="248" spans="1:4">
      <c r="A248" s="101"/>
      <c r="B248" s="101"/>
      <c r="C248" s="101"/>
      <c r="D248" s="101"/>
    </row>
    <row r="249" spans="1:4">
      <c r="A249" s="101"/>
      <c r="B249" s="101"/>
      <c r="C249" s="101"/>
      <c r="D249" s="101"/>
    </row>
    <row r="250" spans="1:4">
      <c r="A250" s="101"/>
      <c r="B250" s="101"/>
      <c r="C250" s="101"/>
      <c r="D250" s="101"/>
    </row>
    <row r="251" spans="1:4">
      <c r="A251" s="101"/>
      <c r="B251" s="101"/>
      <c r="C251" s="101"/>
      <c r="D251" s="101"/>
    </row>
    <row r="252" spans="1:4">
      <c r="A252" s="101"/>
      <c r="B252" s="101"/>
      <c r="C252" s="101"/>
      <c r="D252" s="101"/>
    </row>
    <row r="253" spans="1:4">
      <c r="A253" s="101"/>
      <c r="B253" s="101"/>
      <c r="C253" s="101"/>
      <c r="D253" s="101"/>
    </row>
    <row r="254" spans="1:4">
      <c r="A254" s="101"/>
      <c r="B254" s="101"/>
      <c r="C254" s="101"/>
      <c r="D254" s="101"/>
    </row>
    <row r="255" spans="1:4">
      <c r="A255" s="101"/>
      <c r="B255" s="101"/>
      <c r="C255" s="101"/>
      <c r="D255" s="101"/>
    </row>
    <row r="256" spans="1:4">
      <c r="A256" s="101"/>
      <c r="B256" s="101"/>
      <c r="C256" s="101"/>
      <c r="D256" s="101"/>
    </row>
    <row r="257" spans="1:4">
      <c r="A257" s="101"/>
      <c r="B257" s="101"/>
      <c r="C257" s="101"/>
      <c r="D257" s="101"/>
    </row>
    <row r="258" spans="1:4">
      <c r="A258" s="101"/>
      <c r="B258" s="101"/>
      <c r="C258" s="101"/>
      <c r="D258" s="101"/>
    </row>
    <row r="259" spans="1:4">
      <c r="A259" s="101"/>
      <c r="B259" s="101"/>
      <c r="C259" s="101"/>
      <c r="D259" s="101"/>
    </row>
    <row r="260" spans="1:4">
      <c r="A260" s="101"/>
      <c r="B260" s="101"/>
      <c r="C260" s="101"/>
      <c r="D260" s="101"/>
    </row>
    <row r="261" spans="1:4">
      <c r="A261" s="101"/>
      <c r="B261" s="101"/>
      <c r="C261" s="101"/>
      <c r="D261" s="101"/>
    </row>
    <row r="262" spans="1:4">
      <c r="A262" s="101"/>
      <c r="B262" s="101"/>
      <c r="C262" s="101"/>
      <c r="D262" s="101"/>
    </row>
    <row r="263" spans="1:4">
      <c r="A263" s="101"/>
      <c r="B263" s="101"/>
      <c r="C263" s="101"/>
      <c r="D263" s="101"/>
    </row>
    <row r="264" spans="1:4">
      <c r="A264" s="101"/>
      <c r="B264" s="101"/>
      <c r="C264" s="101"/>
      <c r="D264" s="101"/>
    </row>
    <row r="265" spans="1:4">
      <c r="A265" s="101"/>
      <c r="B265" s="101"/>
      <c r="C265" s="101"/>
      <c r="D265" s="101"/>
    </row>
    <row r="266" spans="1:4">
      <c r="A266" s="101"/>
      <c r="B266" s="101"/>
      <c r="C266" s="101"/>
      <c r="D266" s="101"/>
    </row>
    <row r="267" spans="1:4">
      <c r="A267" s="101"/>
      <c r="B267" s="101"/>
      <c r="C267" s="101"/>
      <c r="D267" s="101"/>
    </row>
    <row r="268" spans="1:4">
      <c r="A268" s="101"/>
      <c r="B268" s="101"/>
      <c r="C268" s="101"/>
      <c r="D268" s="101"/>
    </row>
    <row r="269" spans="1:4">
      <c r="A269" s="101"/>
      <c r="B269" s="101"/>
      <c r="C269" s="101"/>
      <c r="D269" s="101"/>
    </row>
    <row r="270" spans="1:4">
      <c r="A270" s="101"/>
      <c r="B270" s="101"/>
      <c r="C270" s="101"/>
      <c r="D270" s="101"/>
    </row>
    <row r="271" spans="1:4">
      <c r="A271" s="101"/>
      <c r="B271" s="101"/>
      <c r="C271" s="101"/>
      <c r="D271" s="101"/>
    </row>
    <row r="272" spans="1:4">
      <c r="A272" s="101"/>
      <c r="B272" s="101"/>
      <c r="C272" s="101"/>
      <c r="D272" s="101"/>
    </row>
    <row r="273" spans="1:4">
      <c r="A273" s="101"/>
      <c r="B273" s="101"/>
      <c r="C273" s="101"/>
      <c r="D273" s="101"/>
    </row>
    <row r="274" spans="1:4">
      <c r="A274" s="101"/>
      <c r="B274" s="101"/>
      <c r="C274" s="101"/>
      <c r="D274" s="101"/>
    </row>
    <row r="275" spans="1:4">
      <c r="A275" s="101"/>
      <c r="B275" s="101"/>
      <c r="C275" s="101"/>
      <c r="D275" s="101"/>
    </row>
    <row r="276" spans="1:4">
      <c r="A276" s="101"/>
      <c r="B276" s="101"/>
      <c r="C276" s="101"/>
      <c r="D276" s="101"/>
    </row>
    <row r="277" spans="1:4">
      <c r="A277" s="101"/>
      <c r="B277" s="101"/>
      <c r="C277" s="101"/>
      <c r="D277" s="101"/>
    </row>
    <row r="278" spans="1:4">
      <c r="A278" s="101"/>
      <c r="B278" s="101"/>
      <c r="C278" s="101"/>
      <c r="D278" s="101"/>
    </row>
    <row r="279" spans="1:4">
      <c r="A279" s="101"/>
      <c r="B279" s="101"/>
      <c r="C279" s="101"/>
      <c r="D279" s="101"/>
    </row>
    <row r="280" spans="1:4">
      <c r="A280" s="101"/>
      <c r="B280" s="101"/>
      <c r="C280" s="101"/>
      <c r="D280" s="101"/>
    </row>
    <row r="281" spans="1:4">
      <c r="A281" s="101"/>
      <c r="B281" s="101"/>
      <c r="C281" s="101"/>
      <c r="D281" s="101"/>
    </row>
    <row r="282" spans="1:4">
      <c r="A282" s="101"/>
      <c r="B282" s="101"/>
      <c r="C282" s="101"/>
      <c r="D282" s="101"/>
    </row>
    <row r="283" spans="1:4">
      <c r="A283" s="101"/>
      <c r="B283" s="101"/>
      <c r="C283" s="101"/>
      <c r="D283" s="101"/>
    </row>
    <row r="284" spans="1:4">
      <c r="A284" s="101"/>
      <c r="B284" s="101"/>
      <c r="C284" s="101"/>
      <c r="D284" s="101"/>
    </row>
    <row r="285" spans="1:4">
      <c r="A285" s="101"/>
      <c r="B285" s="101"/>
      <c r="C285" s="101"/>
      <c r="D285" s="101"/>
    </row>
    <row r="286" spans="1:4">
      <c r="A286" s="101"/>
      <c r="B286" s="101"/>
      <c r="C286" s="101"/>
      <c r="D286" s="101"/>
    </row>
    <row r="287" spans="1:4">
      <c r="A287" s="101"/>
      <c r="B287" s="101"/>
      <c r="C287" s="101"/>
      <c r="D287" s="101"/>
    </row>
    <row r="288" spans="1:4">
      <c r="A288" s="101"/>
      <c r="B288" s="101"/>
      <c r="C288" s="101"/>
      <c r="D288" s="101"/>
    </row>
    <row r="289" spans="1:4">
      <c r="A289" s="101"/>
      <c r="B289" s="101"/>
      <c r="C289" s="101"/>
      <c r="D289" s="101"/>
    </row>
    <row r="290" spans="1:4">
      <c r="A290" s="101"/>
      <c r="B290" s="101"/>
      <c r="C290" s="101"/>
      <c r="D290" s="101"/>
    </row>
    <row r="291" spans="1:4">
      <c r="A291" s="101"/>
      <c r="B291" s="101"/>
      <c r="C291" s="101"/>
      <c r="D291" s="101"/>
    </row>
    <row r="292" spans="1:4">
      <c r="A292" s="101"/>
      <c r="B292" s="101"/>
      <c r="C292" s="101"/>
      <c r="D292" s="101"/>
    </row>
    <row r="293" spans="1:4">
      <c r="A293" s="101"/>
      <c r="B293" s="101"/>
      <c r="C293" s="101"/>
      <c r="D293" s="101"/>
    </row>
    <row r="294" spans="1:4">
      <c r="A294" s="101"/>
      <c r="B294" s="101"/>
      <c r="C294" s="101"/>
      <c r="D294" s="101"/>
    </row>
    <row r="295" spans="1:4">
      <c r="A295" s="101"/>
      <c r="B295" s="101"/>
      <c r="C295" s="101"/>
      <c r="D295" s="101"/>
    </row>
    <row r="296" spans="1:4">
      <c r="A296" s="101"/>
      <c r="B296" s="101"/>
      <c r="C296" s="101"/>
      <c r="D296" s="101"/>
    </row>
    <row r="297" spans="1:4">
      <c r="A297" s="101"/>
      <c r="B297" s="101"/>
      <c r="C297" s="101"/>
      <c r="D297" s="101"/>
    </row>
    <row r="298" spans="1:4">
      <c r="A298" s="101"/>
      <c r="B298" s="101"/>
      <c r="C298" s="101"/>
      <c r="D298" s="101"/>
    </row>
    <row r="299" spans="1:4">
      <c r="A299" s="101"/>
      <c r="B299" s="101"/>
      <c r="C299" s="101"/>
      <c r="D299" s="101"/>
    </row>
    <row r="300" spans="1:4">
      <c r="A300" s="101"/>
      <c r="B300" s="101"/>
      <c r="C300" s="101"/>
      <c r="D300" s="101"/>
    </row>
    <row r="301" spans="1:4">
      <c r="A301" s="101"/>
      <c r="B301" s="101"/>
      <c r="C301" s="101"/>
      <c r="D301" s="101"/>
    </row>
    <row r="302" spans="1:4">
      <c r="A302" s="101"/>
      <c r="B302" s="101"/>
      <c r="C302" s="101"/>
      <c r="D302" s="101"/>
    </row>
    <row r="303" spans="1:4">
      <c r="A303" s="101"/>
      <c r="B303" s="101"/>
      <c r="C303" s="101"/>
      <c r="D303" s="101"/>
    </row>
    <row r="304" spans="1:4">
      <c r="A304" s="101"/>
      <c r="B304" s="101"/>
      <c r="C304" s="101"/>
      <c r="D304" s="101"/>
    </row>
    <row r="305" spans="1:4">
      <c r="A305" s="101"/>
      <c r="B305" s="101"/>
      <c r="C305" s="101"/>
      <c r="D305" s="101"/>
    </row>
    <row r="306" spans="1:4">
      <c r="A306" s="101"/>
      <c r="B306" s="101"/>
      <c r="C306" s="101"/>
      <c r="D306" s="101"/>
    </row>
    <row r="307" spans="1:4">
      <c r="A307" s="101"/>
      <c r="B307" s="101"/>
      <c r="C307" s="101"/>
      <c r="D307" s="101"/>
    </row>
    <row r="308" spans="1:4">
      <c r="A308" s="101"/>
      <c r="B308" s="101"/>
      <c r="C308" s="101"/>
      <c r="D308" s="101"/>
    </row>
    <row r="309" spans="1:4">
      <c r="A309" s="101"/>
      <c r="B309" s="101"/>
      <c r="C309" s="101"/>
      <c r="D309" s="101"/>
    </row>
    <row r="310" spans="1:4">
      <c r="A310" s="101"/>
      <c r="B310" s="101"/>
      <c r="C310" s="101"/>
      <c r="D310" s="101"/>
    </row>
    <row r="311" spans="1:4">
      <c r="A311" s="101"/>
      <c r="B311" s="101"/>
      <c r="C311" s="101"/>
      <c r="D311" s="101"/>
    </row>
    <row r="312" spans="1:4">
      <c r="A312" s="101"/>
      <c r="B312" s="101"/>
      <c r="C312" s="101"/>
      <c r="D312" s="101"/>
    </row>
    <row r="313" spans="1:4">
      <c r="A313" s="101"/>
      <c r="B313" s="101"/>
      <c r="C313" s="101"/>
      <c r="D313" s="101"/>
    </row>
    <row r="314" spans="1:4">
      <c r="A314" s="101"/>
      <c r="B314" s="101"/>
      <c r="C314" s="101"/>
      <c r="D314" s="101"/>
    </row>
    <row r="315" spans="1:4">
      <c r="A315" s="101"/>
      <c r="B315" s="101"/>
      <c r="C315" s="101"/>
      <c r="D315" s="101"/>
    </row>
    <row r="316" spans="1:4">
      <c r="A316" s="101"/>
      <c r="B316" s="101"/>
      <c r="C316" s="101"/>
      <c r="D316" s="101"/>
    </row>
    <row r="317" spans="1:4">
      <c r="A317" s="101"/>
      <c r="B317" s="101"/>
      <c r="C317" s="101"/>
      <c r="D317" s="101"/>
    </row>
    <row r="318" spans="1:4">
      <c r="A318" s="101"/>
      <c r="B318" s="101"/>
      <c r="C318" s="101"/>
      <c r="D318" s="101"/>
    </row>
    <row r="319" spans="1:4">
      <c r="A319" s="101"/>
      <c r="B319" s="101"/>
      <c r="C319" s="101"/>
      <c r="D319" s="101"/>
    </row>
    <row r="320" spans="1:4">
      <c r="A320" s="101"/>
      <c r="B320" s="101"/>
      <c r="C320" s="101"/>
      <c r="D320" s="101"/>
    </row>
    <row r="321" spans="1:4">
      <c r="A321" s="101"/>
      <c r="B321" s="101"/>
      <c r="C321" s="101"/>
      <c r="D321" s="101"/>
    </row>
    <row r="322" spans="1:4">
      <c r="A322" s="101"/>
      <c r="B322" s="101"/>
      <c r="C322" s="101"/>
      <c r="D322" s="101"/>
    </row>
    <row r="323" spans="1:4">
      <c r="A323" s="101"/>
      <c r="B323" s="101"/>
      <c r="C323" s="101"/>
      <c r="D323" s="101"/>
    </row>
    <row r="324" spans="1:4">
      <c r="A324" s="101"/>
      <c r="B324" s="101"/>
      <c r="C324" s="101"/>
      <c r="D324" s="101"/>
    </row>
    <row r="325" spans="1:4">
      <c r="A325" s="101"/>
      <c r="B325" s="101"/>
      <c r="C325" s="101"/>
      <c r="D325" s="101"/>
    </row>
    <row r="326" spans="1:4">
      <c r="A326" s="101"/>
      <c r="B326" s="101"/>
      <c r="C326" s="101"/>
      <c r="D326" s="101"/>
    </row>
    <row r="327" spans="1:4">
      <c r="A327" s="101"/>
      <c r="B327" s="101"/>
      <c r="C327" s="101"/>
      <c r="D327" s="101"/>
    </row>
    <row r="328" spans="1:4">
      <c r="A328" s="101"/>
      <c r="B328" s="101"/>
      <c r="C328" s="101"/>
      <c r="D328" s="101"/>
    </row>
    <row r="329" spans="1:4">
      <c r="A329" s="101"/>
      <c r="B329" s="101"/>
      <c r="C329" s="101"/>
      <c r="D329" s="101"/>
    </row>
    <row r="330" spans="1:4">
      <c r="A330" s="101"/>
      <c r="B330" s="101"/>
      <c r="C330" s="101"/>
      <c r="D330" s="101"/>
    </row>
    <row r="331" spans="1:4">
      <c r="A331" s="101"/>
      <c r="B331" s="101"/>
      <c r="C331" s="101"/>
      <c r="D331" s="101"/>
    </row>
    <row r="332" spans="1:4">
      <c r="A332" s="101"/>
      <c r="B332" s="101"/>
      <c r="C332" s="101"/>
      <c r="D332" s="101"/>
    </row>
    <row r="333" spans="1:4">
      <c r="A333" s="101"/>
      <c r="B333" s="101"/>
      <c r="C333" s="101"/>
      <c r="D333" s="101"/>
    </row>
    <row r="334" spans="1:4">
      <c r="A334" s="101"/>
      <c r="B334" s="101"/>
      <c r="C334" s="101"/>
      <c r="D334" s="101"/>
    </row>
    <row r="335" spans="1:4">
      <c r="A335" s="101"/>
      <c r="B335" s="101"/>
      <c r="C335" s="101"/>
      <c r="D335" s="101"/>
    </row>
    <row r="336" spans="1:4">
      <c r="A336" s="101"/>
      <c r="B336" s="101"/>
      <c r="C336" s="101"/>
      <c r="D336" s="101"/>
    </row>
    <row r="337" spans="1:4">
      <c r="A337" s="101"/>
      <c r="B337" s="101"/>
      <c r="C337" s="101"/>
      <c r="D337" s="101"/>
    </row>
    <row r="338" spans="1:4">
      <c r="A338" s="101"/>
      <c r="B338" s="101"/>
      <c r="C338" s="101"/>
      <c r="D338" s="101"/>
    </row>
    <row r="339" spans="1:4">
      <c r="A339" s="101"/>
      <c r="B339" s="101"/>
      <c r="C339" s="101"/>
      <c r="D339" s="101"/>
    </row>
    <row r="340" spans="1:4">
      <c r="A340" s="101"/>
      <c r="B340" s="101"/>
      <c r="C340" s="101"/>
      <c r="D340" s="101"/>
    </row>
    <row r="341" spans="1:4">
      <c r="A341" s="101"/>
      <c r="B341" s="101"/>
      <c r="C341" s="101"/>
      <c r="D341" s="101"/>
    </row>
    <row r="342" spans="1:4">
      <c r="A342" s="101"/>
      <c r="B342" s="101"/>
      <c r="C342" s="101"/>
      <c r="D342" s="101"/>
    </row>
    <row r="343" spans="1:4">
      <c r="A343" s="101"/>
      <c r="B343" s="101"/>
      <c r="C343" s="101"/>
      <c r="D343" s="101"/>
    </row>
    <row r="344" spans="1:4">
      <c r="A344" s="101"/>
      <c r="B344" s="101"/>
      <c r="C344" s="101"/>
      <c r="D344" s="101"/>
    </row>
    <row r="345" spans="1:4">
      <c r="A345" s="101"/>
      <c r="B345" s="101"/>
      <c r="C345" s="101"/>
      <c r="D345" s="101"/>
    </row>
    <row r="346" spans="1:4">
      <c r="A346" s="101"/>
      <c r="B346" s="101"/>
      <c r="C346" s="101"/>
      <c r="D346" s="101"/>
    </row>
    <row r="347" spans="1:4">
      <c r="A347" s="101"/>
      <c r="B347" s="101"/>
      <c r="C347" s="101"/>
      <c r="D347" s="101"/>
    </row>
    <row r="348" spans="1:4">
      <c r="A348" s="101"/>
      <c r="B348" s="101"/>
      <c r="C348" s="101"/>
      <c r="D348" s="101"/>
    </row>
    <row r="349" spans="1:4">
      <c r="A349" s="101"/>
      <c r="B349" s="101"/>
      <c r="C349" s="101"/>
      <c r="D349" s="101"/>
    </row>
    <row r="350" spans="1:4">
      <c r="A350" s="101"/>
      <c r="B350" s="101"/>
      <c r="C350" s="101"/>
      <c r="D350" s="101"/>
    </row>
    <row r="351" spans="1:4">
      <c r="A351" s="101"/>
      <c r="B351" s="101"/>
      <c r="C351" s="101"/>
      <c r="D351" s="101"/>
    </row>
    <row r="352" spans="1:4">
      <c r="A352" s="101"/>
      <c r="B352" s="101"/>
      <c r="C352" s="101"/>
      <c r="D352" s="101"/>
    </row>
    <row r="353" spans="1:4">
      <c r="A353" s="101"/>
      <c r="B353" s="101"/>
      <c r="C353" s="101"/>
      <c r="D353" s="101"/>
    </row>
    <row r="354" spans="1:4">
      <c r="A354" s="101"/>
      <c r="B354" s="101"/>
      <c r="C354" s="101"/>
      <c r="D354" s="101"/>
    </row>
    <row r="355" spans="1:4">
      <c r="A355" s="101"/>
      <c r="B355" s="101"/>
      <c r="C355" s="101"/>
      <c r="D355" s="101"/>
    </row>
    <row r="356" spans="1:4">
      <c r="A356" s="101"/>
      <c r="B356" s="101"/>
      <c r="C356" s="101"/>
      <c r="D356" s="101"/>
    </row>
    <row r="357" spans="1:4">
      <c r="A357" s="101"/>
      <c r="B357" s="101"/>
      <c r="C357" s="101"/>
      <c r="D357" s="101"/>
    </row>
    <row r="358" spans="1:4">
      <c r="A358" s="101"/>
      <c r="B358" s="101"/>
      <c r="C358" s="101"/>
      <c r="D358" s="101"/>
    </row>
    <row r="359" spans="1:4">
      <c r="A359" s="101"/>
      <c r="B359" s="101"/>
      <c r="C359" s="101"/>
      <c r="D359" s="101"/>
    </row>
    <row r="360" spans="1:4">
      <c r="A360" s="101"/>
      <c r="B360" s="101"/>
      <c r="C360" s="101"/>
      <c r="D360" s="101"/>
    </row>
    <row r="361" spans="1:4">
      <c r="A361" s="101"/>
      <c r="B361" s="101"/>
      <c r="C361" s="101"/>
      <c r="D361" s="101"/>
    </row>
    <row r="362" spans="1:4">
      <c r="A362" s="101"/>
      <c r="B362" s="101"/>
      <c r="C362" s="101"/>
      <c r="D362" s="101"/>
    </row>
    <row r="363" spans="1:4">
      <c r="A363" s="101"/>
      <c r="B363" s="101"/>
      <c r="C363" s="101"/>
      <c r="D363" s="101"/>
    </row>
    <row r="364" spans="1:4">
      <c r="A364" s="101"/>
      <c r="B364" s="101"/>
      <c r="C364" s="101"/>
      <c r="D364" s="101"/>
    </row>
    <row r="365" spans="1:4">
      <c r="A365" s="101"/>
      <c r="B365" s="101"/>
      <c r="C365" s="101"/>
      <c r="D365" s="101"/>
    </row>
    <row r="366" spans="1:4">
      <c r="A366" s="101"/>
      <c r="B366" s="101"/>
      <c r="C366" s="101"/>
      <c r="D366" s="101"/>
    </row>
    <row r="367" spans="1:4">
      <c r="A367" s="101"/>
      <c r="B367" s="101"/>
      <c r="C367" s="101"/>
      <c r="D367" s="101"/>
    </row>
    <row r="368" spans="1:4">
      <c r="A368" s="101"/>
      <c r="B368" s="101"/>
      <c r="C368" s="101"/>
      <c r="D368" s="101"/>
    </row>
    <row r="369" spans="1:4">
      <c r="A369" s="101"/>
      <c r="B369" s="101"/>
      <c r="C369" s="101"/>
      <c r="D369" s="101"/>
    </row>
    <row r="370" spans="1:4">
      <c r="A370" s="101"/>
      <c r="B370" s="101"/>
      <c r="C370" s="101"/>
      <c r="D370" s="101"/>
    </row>
    <row r="371" spans="1:4">
      <c r="A371" s="101"/>
      <c r="B371" s="101"/>
      <c r="C371" s="101"/>
      <c r="D371" s="101"/>
    </row>
    <row r="372" spans="1:4">
      <c r="A372" s="101"/>
      <c r="B372" s="101"/>
      <c r="C372" s="101"/>
      <c r="D372" s="101"/>
    </row>
    <row r="373" spans="1:4">
      <c r="A373" s="101"/>
      <c r="B373" s="101"/>
      <c r="C373" s="101"/>
      <c r="D373" s="101"/>
    </row>
    <row r="374" spans="1:4">
      <c r="A374" s="101"/>
      <c r="B374" s="101"/>
      <c r="C374" s="101"/>
      <c r="D374" s="101"/>
    </row>
    <row r="375" spans="1:4">
      <c r="A375" s="101"/>
      <c r="B375" s="101"/>
      <c r="C375" s="101"/>
      <c r="D375" s="101"/>
    </row>
    <row r="376" spans="1:4">
      <c r="A376" s="101"/>
      <c r="B376" s="101"/>
      <c r="C376" s="101"/>
      <c r="D376" s="101"/>
    </row>
    <row r="377" spans="1:4">
      <c r="A377" s="101"/>
      <c r="B377" s="101"/>
      <c r="C377" s="101"/>
      <c r="D377" s="101"/>
    </row>
    <row r="378" spans="1:4">
      <c r="A378" s="101"/>
      <c r="B378" s="101"/>
      <c r="C378" s="101"/>
      <c r="D378" s="101"/>
    </row>
    <row r="379" spans="1:4">
      <c r="A379" s="101"/>
      <c r="B379" s="101"/>
      <c r="C379" s="101"/>
      <c r="D379" s="101"/>
    </row>
    <row r="380" spans="1:4">
      <c r="A380" s="101"/>
      <c r="B380" s="101"/>
      <c r="C380" s="101"/>
      <c r="D380" s="101"/>
    </row>
    <row r="381" spans="1:4">
      <c r="A381" s="101"/>
      <c r="B381" s="101"/>
      <c r="C381" s="101"/>
      <c r="D381" s="101"/>
    </row>
    <row r="382" spans="1:4">
      <c r="A382" s="101"/>
      <c r="B382" s="101"/>
      <c r="C382" s="101"/>
      <c r="D382" s="101"/>
    </row>
    <row r="383" spans="1:4">
      <c r="A383" s="101"/>
      <c r="B383" s="101"/>
      <c r="C383" s="101"/>
      <c r="D383" s="101"/>
    </row>
    <row r="384" spans="1:4">
      <c r="A384" s="101"/>
      <c r="B384" s="101"/>
      <c r="C384" s="101"/>
      <c r="D384" s="101"/>
    </row>
    <row r="385" spans="1:4">
      <c r="A385" s="101"/>
      <c r="B385" s="101"/>
      <c r="C385" s="101"/>
      <c r="D385" s="101"/>
    </row>
    <row r="386" spans="1:4">
      <c r="A386" s="101"/>
      <c r="B386" s="101"/>
      <c r="C386" s="101"/>
      <c r="D386" s="101"/>
    </row>
    <row r="387" spans="1:4">
      <c r="A387" s="101"/>
      <c r="B387" s="101"/>
      <c r="C387" s="101"/>
      <c r="D387" s="101"/>
    </row>
    <row r="388" spans="1:4">
      <c r="A388" s="101"/>
      <c r="B388" s="101"/>
      <c r="C388" s="101"/>
      <c r="D388" s="101"/>
    </row>
    <row r="389" spans="1:4">
      <c r="A389" s="101"/>
      <c r="B389" s="101"/>
      <c r="C389" s="101"/>
      <c r="D389" s="101"/>
    </row>
    <row r="390" spans="1:4">
      <c r="A390" s="101"/>
      <c r="B390" s="101"/>
      <c r="C390" s="101"/>
      <c r="D390" s="101"/>
    </row>
    <row r="391" spans="1:4">
      <c r="A391" s="101"/>
      <c r="B391" s="101"/>
      <c r="C391" s="101"/>
      <c r="D391" s="101"/>
    </row>
    <row r="392" spans="1:4">
      <c r="A392" s="101"/>
      <c r="B392" s="101"/>
      <c r="C392" s="101"/>
      <c r="D392" s="101"/>
    </row>
    <row r="393" spans="1:4">
      <c r="A393" s="101"/>
      <c r="B393" s="101"/>
      <c r="C393" s="101"/>
      <c r="D393" s="101"/>
    </row>
    <row r="394" spans="1:4">
      <c r="A394" s="101"/>
      <c r="B394" s="101"/>
      <c r="C394" s="101"/>
      <c r="D394" s="101"/>
    </row>
    <row r="395" spans="1:4">
      <c r="A395" s="101"/>
      <c r="B395" s="101"/>
      <c r="C395" s="101"/>
      <c r="D395" s="101"/>
    </row>
    <row r="396" spans="1:4">
      <c r="A396" s="101"/>
      <c r="B396" s="101"/>
      <c r="C396" s="101"/>
      <c r="D396" s="101"/>
    </row>
    <row r="397" spans="1:4">
      <c r="A397" s="101"/>
      <c r="B397" s="101"/>
      <c r="C397" s="101"/>
      <c r="D397" s="101"/>
    </row>
    <row r="398" spans="1:4">
      <c r="A398" s="101"/>
      <c r="B398" s="101"/>
      <c r="C398" s="101"/>
      <c r="D398" s="101"/>
    </row>
    <row r="399" spans="1:4">
      <c r="A399" s="101"/>
      <c r="B399" s="101"/>
      <c r="C399" s="101"/>
      <c r="D399" s="101"/>
    </row>
    <row r="400" spans="1:4">
      <c r="A400" s="101"/>
      <c r="B400" s="101"/>
      <c r="C400" s="101"/>
      <c r="D400" s="101"/>
    </row>
    <row r="401" spans="1:4">
      <c r="A401" s="101"/>
      <c r="B401" s="101"/>
      <c r="C401" s="101"/>
      <c r="D401" s="101"/>
    </row>
    <row r="402" spans="1:4">
      <c r="A402" s="101"/>
      <c r="B402" s="101"/>
      <c r="C402" s="101"/>
      <c r="D402" s="101"/>
    </row>
    <row r="403" spans="1:4">
      <c r="A403" s="101"/>
      <c r="B403" s="101"/>
      <c r="C403" s="101"/>
      <c r="D403" s="101"/>
    </row>
    <row r="404" spans="1:4">
      <c r="A404" s="101"/>
      <c r="B404" s="101"/>
      <c r="C404" s="101"/>
      <c r="D404" s="101"/>
    </row>
    <row r="405" spans="1:4">
      <c r="A405" s="101"/>
      <c r="B405" s="101"/>
      <c r="C405" s="101"/>
      <c r="D405" s="101"/>
    </row>
    <row r="406" spans="1:4">
      <c r="A406" s="101"/>
      <c r="B406" s="101"/>
      <c r="C406" s="101"/>
      <c r="D406" s="101"/>
    </row>
    <row r="407" spans="1:4">
      <c r="A407" s="101"/>
      <c r="B407" s="101"/>
      <c r="C407" s="101"/>
      <c r="D407" s="101"/>
    </row>
    <row r="408" spans="1:4">
      <c r="A408" s="101"/>
      <c r="B408" s="101"/>
      <c r="C408" s="101"/>
      <c r="D408" s="101"/>
    </row>
    <row r="409" spans="1:4">
      <c r="A409" s="101"/>
      <c r="B409" s="101"/>
      <c r="C409" s="101"/>
      <c r="D409" s="101"/>
    </row>
    <row r="410" spans="1:4">
      <c r="A410" s="101"/>
      <c r="B410" s="101"/>
      <c r="C410" s="101"/>
      <c r="D410" s="101"/>
    </row>
    <row r="411" spans="1:4">
      <c r="A411" s="101"/>
      <c r="B411" s="101"/>
      <c r="C411" s="101"/>
      <c r="D411" s="101"/>
    </row>
    <row r="412" spans="1:4">
      <c r="A412" s="101"/>
      <c r="B412" s="101"/>
      <c r="C412" s="101"/>
      <c r="D412" s="101"/>
    </row>
    <row r="413" spans="1:4">
      <c r="A413" s="101"/>
      <c r="B413" s="101"/>
      <c r="C413" s="101"/>
      <c r="D413" s="101"/>
    </row>
    <row r="414" spans="1:4">
      <c r="A414" s="101"/>
      <c r="B414" s="101"/>
      <c r="C414" s="101"/>
      <c r="D414" s="101"/>
    </row>
    <row r="415" spans="1:4">
      <c r="A415" s="101"/>
      <c r="B415" s="101"/>
      <c r="C415" s="101"/>
      <c r="D415" s="101"/>
    </row>
    <row r="416" spans="1:4">
      <c r="A416" s="101"/>
      <c r="B416" s="101"/>
      <c r="C416" s="101"/>
      <c r="D416" s="101"/>
    </row>
    <row r="417" spans="1:4">
      <c r="A417" s="101"/>
      <c r="B417" s="101"/>
      <c r="C417" s="101"/>
      <c r="D417" s="101"/>
    </row>
    <row r="418" spans="1:4">
      <c r="A418" s="101"/>
      <c r="B418" s="101"/>
      <c r="C418" s="101"/>
      <c r="D418" s="101"/>
    </row>
    <row r="419" spans="1:4">
      <c r="A419" s="101"/>
      <c r="B419" s="101"/>
      <c r="C419" s="101"/>
      <c r="D419" s="101"/>
    </row>
    <row r="420" spans="1:4">
      <c r="A420" s="101"/>
      <c r="B420" s="101"/>
      <c r="C420" s="101"/>
      <c r="D420" s="101"/>
    </row>
    <row r="421" spans="1:4">
      <c r="A421" s="101"/>
      <c r="B421" s="101"/>
      <c r="C421" s="101"/>
      <c r="D421" s="101"/>
    </row>
    <row r="422" spans="1:4">
      <c r="A422" s="101"/>
      <c r="B422" s="101"/>
      <c r="C422" s="101"/>
      <c r="D422" s="101"/>
    </row>
    <row r="423" spans="1:4">
      <c r="A423" s="101"/>
      <c r="B423" s="101"/>
      <c r="C423" s="101"/>
      <c r="D423" s="101"/>
    </row>
    <row r="424" spans="1:4">
      <c r="A424" s="101"/>
      <c r="B424" s="101"/>
      <c r="C424" s="101"/>
      <c r="D424" s="101"/>
    </row>
    <row r="425" spans="1:4">
      <c r="A425" s="101"/>
      <c r="B425" s="101"/>
      <c r="C425" s="101"/>
      <c r="D425" s="101"/>
    </row>
    <row r="426" spans="1:4">
      <c r="A426" s="101"/>
      <c r="B426" s="101"/>
      <c r="C426" s="101"/>
      <c r="D426" s="101"/>
    </row>
    <row r="427" spans="1:4">
      <c r="A427" s="101"/>
      <c r="B427" s="101"/>
      <c r="C427" s="101"/>
      <c r="D427" s="101"/>
    </row>
    <row r="428" spans="1:4">
      <c r="A428" s="101"/>
      <c r="B428" s="101"/>
      <c r="C428" s="101"/>
      <c r="D428" s="101"/>
    </row>
    <row r="429" spans="1:4">
      <c r="A429" s="101"/>
      <c r="B429" s="101"/>
      <c r="C429" s="101"/>
      <c r="D429" s="101"/>
    </row>
    <row r="430" spans="1:4">
      <c r="A430" s="101"/>
      <c r="B430" s="101"/>
      <c r="C430" s="101"/>
      <c r="D430" s="101"/>
    </row>
    <row r="431" spans="1:4">
      <c r="A431" s="101"/>
      <c r="B431" s="101"/>
      <c r="C431" s="101"/>
      <c r="D431" s="101"/>
    </row>
    <row r="432" spans="1:4">
      <c r="A432" s="101"/>
      <c r="B432" s="101"/>
      <c r="C432" s="101"/>
      <c r="D432" s="101"/>
    </row>
    <row r="433" spans="1:4">
      <c r="A433" s="101"/>
      <c r="B433" s="101"/>
      <c r="C433" s="101"/>
      <c r="D433" s="101"/>
    </row>
    <row r="434" spans="1:4">
      <c r="A434" s="101"/>
      <c r="B434" s="101"/>
      <c r="C434" s="101"/>
      <c r="D434" s="101"/>
    </row>
    <row r="435" spans="1:4">
      <c r="A435" s="101"/>
      <c r="B435" s="101"/>
      <c r="C435" s="101"/>
      <c r="D435" s="101"/>
    </row>
    <row r="436" spans="1:4">
      <c r="A436" s="101"/>
      <c r="B436" s="101"/>
      <c r="C436" s="101"/>
      <c r="D436" s="101"/>
    </row>
    <row r="437" spans="1:4">
      <c r="A437" s="101"/>
      <c r="B437" s="101"/>
      <c r="C437" s="101"/>
      <c r="D437" s="101"/>
    </row>
    <row r="438" spans="1:4">
      <c r="A438" s="101"/>
      <c r="B438" s="101"/>
      <c r="C438" s="101"/>
      <c r="D438" s="101"/>
    </row>
    <row r="439" spans="1:4">
      <c r="A439" s="101"/>
      <c r="B439" s="101"/>
      <c r="C439" s="101"/>
      <c r="D439" s="101"/>
    </row>
    <row r="440" spans="1:4">
      <c r="A440" s="101"/>
      <c r="B440" s="101"/>
      <c r="C440" s="101"/>
      <c r="D440" s="101"/>
    </row>
    <row r="441" spans="1:4">
      <c r="A441" s="101"/>
      <c r="B441" s="101"/>
      <c r="C441" s="101"/>
      <c r="D441" s="101"/>
    </row>
    <row r="442" spans="1:4">
      <c r="A442" s="101"/>
      <c r="B442" s="101"/>
      <c r="C442" s="101"/>
      <c r="D442" s="101"/>
    </row>
    <row r="443" spans="1:4">
      <c r="A443" s="101"/>
      <c r="B443" s="101"/>
      <c r="C443" s="101"/>
      <c r="D443" s="101"/>
    </row>
    <row r="444" spans="1:4">
      <c r="A444" s="101"/>
      <c r="B444" s="101"/>
      <c r="C444" s="101"/>
      <c r="D444" s="101"/>
    </row>
    <row r="445" spans="1:4">
      <c r="A445" s="101"/>
      <c r="B445" s="101"/>
      <c r="C445" s="101"/>
      <c r="D445" s="101"/>
    </row>
    <row r="446" spans="1:4">
      <c r="A446" s="101"/>
      <c r="B446" s="101"/>
      <c r="C446" s="101"/>
      <c r="D446" s="101"/>
    </row>
    <row r="447" spans="1:4">
      <c r="A447" s="101"/>
      <c r="B447" s="101"/>
      <c r="C447" s="101"/>
      <c r="D447" s="101"/>
    </row>
    <row r="448" spans="1:4">
      <c r="A448" s="101"/>
      <c r="B448" s="101"/>
      <c r="C448" s="101"/>
      <c r="D448" s="101"/>
    </row>
    <row r="449" spans="1:4">
      <c r="A449" s="101"/>
      <c r="B449" s="101"/>
      <c r="C449" s="101"/>
      <c r="D449" s="101"/>
    </row>
    <row r="450" spans="1:4">
      <c r="A450" s="101"/>
      <c r="B450" s="101"/>
      <c r="C450" s="101"/>
      <c r="D450" s="101"/>
    </row>
    <row r="451" spans="1:4">
      <c r="A451" s="101"/>
      <c r="B451" s="101"/>
      <c r="C451" s="101"/>
      <c r="D451" s="101"/>
    </row>
    <row r="452" spans="1:4">
      <c r="A452" s="101"/>
      <c r="B452" s="101"/>
      <c r="C452" s="101"/>
      <c r="D452" s="101"/>
    </row>
    <row r="453" spans="1:4">
      <c r="A453" s="101"/>
      <c r="B453" s="101"/>
      <c r="C453" s="101"/>
      <c r="D453" s="101"/>
    </row>
    <row r="454" spans="1:4">
      <c r="A454" s="101"/>
      <c r="B454" s="101"/>
      <c r="C454" s="101"/>
      <c r="D454" s="101"/>
    </row>
    <row r="455" spans="1:4">
      <c r="A455" s="101"/>
      <c r="B455" s="101"/>
      <c r="C455" s="101"/>
      <c r="D455" s="101"/>
    </row>
    <row r="456" spans="1:4">
      <c r="A456" s="101"/>
      <c r="B456" s="101"/>
      <c r="C456" s="101"/>
      <c r="D456" s="101"/>
    </row>
    <row r="457" spans="1:4">
      <c r="A457" s="101"/>
      <c r="B457" s="101"/>
      <c r="C457" s="101"/>
      <c r="D457" s="101"/>
    </row>
    <row r="458" spans="1:4">
      <c r="A458" s="101"/>
      <c r="B458" s="101"/>
      <c r="C458" s="101"/>
      <c r="D458" s="101"/>
    </row>
    <row r="459" spans="1:4">
      <c r="A459" s="101"/>
      <c r="B459" s="101"/>
      <c r="C459" s="101"/>
      <c r="D459" s="101"/>
    </row>
    <row r="460" spans="1:4">
      <c r="A460" s="101"/>
      <c r="B460" s="101"/>
      <c r="C460" s="101"/>
      <c r="D460" s="101"/>
    </row>
    <row r="461" spans="1:4">
      <c r="A461" s="101"/>
      <c r="B461" s="101"/>
      <c r="C461" s="101"/>
      <c r="D461" s="101"/>
    </row>
    <row r="462" spans="1:4">
      <c r="A462" s="101"/>
      <c r="B462" s="101"/>
      <c r="C462" s="101"/>
      <c r="D462" s="101"/>
    </row>
    <row r="463" spans="1:4">
      <c r="A463" s="101"/>
      <c r="B463" s="101"/>
      <c r="C463" s="101"/>
      <c r="D463" s="101"/>
    </row>
    <row r="464" spans="1:4">
      <c r="A464" s="101"/>
      <c r="B464" s="101"/>
      <c r="C464" s="101"/>
      <c r="D464" s="101"/>
    </row>
    <row r="465" spans="1:4">
      <c r="A465" s="101"/>
      <c r="B465" s="101"/>
      <c r="C465" s="101"/>
      <c r="D465" s="101"/>
    </row>
    <row r="466" spans="1:4">
      <c r="A466" s="101"/>
      <c r="B466" s="101"/>
      <c r="C466" s="101"/>
      <c r="D466" s="101"/>
    </row>
    <row r="467" spans="1:4">
      <c r="A467" s="101"/>
      <c r="B467" s="101"/>
      <c r="C467" s="101"/>
      <c r="D467" s="101"/>
    </row>
    <row r="468" spans="1:4">
      <c r="A468" s="101"/>
      <c r="B468" s="101"/>
      <c r="C468" s="101"/>
      <c r="D468" s="101"/>
    </row>
    <row r="469" spans="1:4">
      <c r="A469" s="101"/>
      <c r="B469" s="101"/>
      <c r="C469" s="101"/>
      <c r="D469" s="101"/>
    </row>
    <row r="470" spans="1:4">
      <c r="A470" s="101"/>
      <c r="B470" s="101"/>
      <c r="C470" s="101"/>
      <c r="D470" s="101"/>
    </row>
    <row r="471" spans="1:4">
      <c r="A471" s="101"/>
      <c r="B471" s="101"/>
      <c r="C471" s="101"/>
      <c r="D471" s="101"/>
    </row>
    <row r="472" spans="1:4">
      <c r="A472" s="101"/>
      <c r="B472" s="101"/>
      <c r="C472" s="101"/>
      <c r="D472" s="101"/>
    </row>
    <row r="473" spans="1:4">
      <c r="A473" s="101"/>
      <c r="B473" s="101"/>
      <c r="C473" s="101"/>
      <c r="D473" s="101"/>
    </row>
    <row r="474" spans="1:4">
      <c r="A474" s="101"/>
      <c r="B474" s="101"/>
      <c r="C474" s="101"/>
      <c r="D474" s="101"/>
    </row>
    <row r="475" spans="1:4">
      <c r="A475" s="101"/>
      <c r="B475" s="101"/>
      <c r="C475" s="101"/>
      <c r="D475" s="101"/>
    </row>
    <row r="476" spans="1:4">
      <c r="A476" s="101"/>
      <c r="B476" s="101"/>
      <c r="C476" s="101"/>
      <c r="D476" s="101"/>
    </row>
    <row r="477" spans="1:4">
      <c r="A477" s="101"/>
      <c r="B477" s="101"/>
      <c r="C477" s="101"/>
      <c r="D477" s="101"/>
    </row>
    <row r="478" spans="1:4">
      <c r="A478" s="101"/>
      <c r="B478" s="101"/>
      <c r="C478" s="101"/>
      <c r="D478" s="101"/>
    </row>
    <row r="479" spans="1:4">
      <c r="A479" s="101"/>
      <c r="B479" s="101"/>
      <c r="C479" s="101"/>
      <c r="D479" s="101"/>
    </row>
    <row r="480" spans="1:4">
      <c r="A480" s="101"/>
      <c r="B480" s="101"/>
      <c r="C480" s="101"/>
      <c r="D480" s="101"/>
    </row>
    <row r="481" spans="1:4">
      <c r="A481" s="101"/>
      <c r="B481" s="101"/>
      <c r="C481" s="101"/>
      <c r="D481" s="101"/>
    </row>
    <row r="482" spans="1:4">
      <c r="A482" s="101"/>
      <c r="B482" s="101"/>
      <c r="C482" s="101"/>
      <c r="D482" s="101"/>
    </row>
    <row r="483" spans="1:4">
      <c r="A483" s="101"/>
      <c r="B483" s="101"/>
      <c r="C483" s="101"/>
      <c r="D483" s="101"/>
    </row>
    <row r="484" spans="1:4">
      <c r="A484" s="101"/>
      <c r="B484" s="101"/>
      <c r="C484" s="101"/>
      <c r="D484" s="101"/>
    </row>
    <row r="485" spans="1:4">
      <c r="A485" s="101"/>
      <c r="B485" s="101"/>
      <c r="C485" s="101"/>
      <c r="D485" s="101"/>
    </row>
    <row r="486" spans="1:4">
      <c r="A486" s="101"/>
      <c r="B486" s="101"/>
      <c r="C486" s="101"/>
      <c r="D486" s="101"/>
    </row>
    <row r="487" spans="1:4">
      <c r="A487" s="101"/>
      <c r="B487" s="101"/>
      <c r="C487" s="101"/>
      <c r="D487" s="101"/>
    </row>
    <row r="488" spans="1:4">
      <c r="A488" s="101"/>
      <c r="B488" s="101"/>
      <c r="C488" s="101"/>
      <c r="D488" s="101"/>
    </row>
    <row r="489" spans="1:4">
      <c r="A489" s="101"/>
      <c r="B489" s="101"/>
      <c r="C489" s="101"/>
      <c r="D489" s="101"/>
    </row>
    <row r="490" spans="1:4">
      <c r="A490" s="101"/>
      <c r="B490" s="101"/>
      <c r="C490" s="101"/>
      <c r="D490" s="101"/>
    </row>
    <row r="491" spans="1:4">
      <c r="A491" s="101"/>
      <c r="B491" s="101"/>
      <c r="C491" s="101"/>
      <c r="D491" s="101"/>
    </row>
    <row r="492" spans="1:4">
      <c r="A492" s="101"/>
      <c r="B492" s="101"/>
      <c r="C492" s="101"/>
      <c r="D492" s="101"/>
    </row>
    <row r="493" spans="1:4">
      <c r="A493" s="101"/>
      <c r="B493" s="101"/>
      <c r="C493" s="101"/>
      <c r="D493" s="101"/>
    </row>
    <row r="494" spans="1:4">
      <c r="A494" s="101"/>
      <c r="B494" s="101"/>
      <c r="C494" s="101"/>
      <c r="D494" s="101"/>
    </row>
    <row r="495" spans="1:4">
      <c r="A495" s="101"/>
      <c r="B495" s="101"/>
      <c r="C495" s="101"/>
      <c r="D495" s="101"/>
    </row>
    <row r="496" spans="1:4">
      <c r="A496" s="101"/>
      <c r="B496" s="101"/>
      <c r="C496" s="101"/>
      <c r="D496" s="101"/>
    </row>
    <row r="497" spans="1:4">
      <c r="A497" s="101"/>
      <c r="B497" s="101"/>
      <c r="C497" s="101"/>
      <c r="D497" s="101"/>
    </row>
    <row r="498" spans="1:4">
      <c r="A498" s="101"/>
      <c r="B498" s="101"/>
      <c r="C498" s="101"/>
      <c r="D498" s="101"/>
    </row>
    <row r="499" spans="1:4">
      <c r="A499" s="101"/>
      <c r="B499" s="101"/>
      <c r="C499" s="101"/>
      <c r="D499" s="101"/>
    </row>
    <row r="500" spans="1:4">
      <c r="A500" s="101"/>
      <c r="B500" s="101"/>
      <c r="C500" s="101"/>
      <c r="D500" s="101"/>
    </row>
    <row r="501" spans="1:4">
      <c r="A501" s="101"/>
      <c r="B501" s="101"/>
      <c r="C501" s="101"/>
      <c r="D501" s="101"/>
    </row>
    <row r="502" spans="1:4">
      <c r="A502" s="101"/>
      <c r="B502" s="101"/>
      <c r="C502" s="101"/>
      <c r="D502" s="101"/>
    </row>
    <row r="503" spans="1:4">
      <c r="A503" s="101"/>
      <c r="B503" s="101"/>
      <c r="C503" s="101"/>
      <c r="D503" s="101"/>
    </row>
    <row r="504" spans="1:4">
      <c r="A504" s="101"/>
      <c r="B504" s="101"/>
      <c r="C504" s="101"/>
      <c r="D504" s="101"/>
    </row>
    <row r="505" spans="1:4">
      <c r="A505" s="101"/>
      <c r="B505" s="101"/>
      <c r="C505" s="101"/>
      <c r="D505" s="101"/>
    </row>
    <row r="506" spans="1:4">
      <c r="A506" s="101"/>
      <c r="B506" s="101"/>
      <c r="C506" s="101"/>
      <c r="D506" s="101"/>
    </row>
    <row r="507" spans="1:4">
      <c r="A507" s="101"/>
      <c r="B507" s="101"/>
      <c r="C507" s="101"/>
      <c r="D507" s="101"/>
    </row>
    <row r="508" spans="1:4">
      <c r="A508" s="101"/>
      <c r="B508" s="101"/>
      <c r="C508" s="101"/>
      <c r="D508" s="101"/>
    </row>
    <row r="509" spans="1:4">
      <c r="A509" s="101"/>
      <c r="B509" s="101"/>
      <c r="C509" s="101"/>
      <c r="D509" s="101"/>
    </row>
    <row r="510" spans="1:4">
      <c r="A510" s="101"/>
      <c r="B510" s="101"/>
      <c r="C510" s="101"/>
      <c r="D510" s="101"/>
    </row>
    <row r="511" spans="1:4">
      <c r="A511" s="101"/>
      <c r="B511" s="101"/>
      <c r="C511" s="101"/>
      <c r="D511" s="101"/>
    </row>
    <row r="512" spans="1:4">
      <c r="A512" s="101"/>
      <c r="B512" s="101"/>
      <c r="C512" s="101"/>
      <c r="D512" s="101"/>
    </row>
    <row r="513" spans="1:4">
      <c r="A513" s="101"/>
      <c r="B513" s="101"/>
      <c r="C513" s="101"/>
      <c r="D513" s="101"/>
    </row>
    <row r="514" spans="1:4">
      <c r="A514" s="101"/>
      <c r="B514" s="101"/>
      <c r="C514" s="101"/>
      <c r="D514" s="101"/>
    </row>
    <row r="515" spans="1:4">
      <c r="A515" s="101"/>
      <c r="B515" s="101"/>
      <c r="C515" s="101"/>
      <c r="D515" s="101"/>
    </row>
    <row r="516" spans="1:4">
      <c r="A516" s="101"/>
      <c r="B516" s="101"/>
      <c r="C516" s="101"/>
      <c r="D516" s="101"/>
    </row>
    <row r="517" spans="1:4">
      <c r="A517" s="101"/>
      <c r="B517" s="101"/>
      <c r="C517" s="101"/>
      <c r="D517" s="101"/>
    </row>
    <row r="518" spans="1:4">
      <c r="A518" s="101"/>
      <c r="B518" s="101"/>
      <c r="C518" s="101"/>
      <c r="D518" s="101"/>
    </row>
    <row r="519" spans="1:4">
      <c r="A519" s="101"/>
      <c r="B519" s="101"/>
      <c r="C519" s="101"/>
      <c r="D519" s="101"/>
    </row>
    <row r="520" spans="1:4">
      <c r="A520" s="101"/>
      <c r="B520" s="101"/>
      <c r="C520" s="101"/>
      <c r="D520" s="101"/>
    </row>
    <row r="521" spans="1:4">
      <c r="A521" s="101"/>
      <c r="B521" s="101"/>
      <c r="C521" s="101"/>
      <c r="D521" s="101"/>
    </row>
    <row r="522" spans="1:4">
      <c r="A522" s="101"/>
      <c r="B522" s="101"/>
      <c r="C522" s="101"/>
      <c r="D522" s="101"/>
    </row>
    <row r="523" spans="1:4">
      <c r="A523" s="101"/>
      <c r="B523" s="101"/>
      <c r="C523" s="101"/>
      <c r="D523" s="101"/>
    </row>
    <row r="524" spans="1:4">
      <c r="A524" s="101"/>
      <c r="B524" s="101"/>
      <c r="C524" s="101"/>
      <c r="D524" s="101"/>
    </row>
    <row r="525" spans="1:4">
      <c r="A525" s="101"/>
      <c r="B525" s="101"/>
      <c r="C525" s="101"/>
      <c r="D525" s="101"/>
    </row>
    <row r="526" spans="1:4">
      <c r="A526" s="101"/>
      <c r="B526" s="101"/>
      <c r="C526" s="101"/>
      <c r="D526" s="101"/>
    </row>
    <row r="527" spans="1:4">
      <c r="A527" s="101"/>
      <c r="B527" s="101"/>
      <c r="C527" s="101"/>
      <c r="D527" s="101"/>
    </row>
    <row r="528" spans="1:4">
      <c r="A528" s="101"/>
      <c r="B528" s="101"/>
      <c r="C528" s="101"/>
      <c r="D528" s="101"/>
    </row>
    <row r="529" spans="1:4">
      <c r="A529" s="101"/>
      <c r="B529" s="101"/>
      <c r="C529" s="101"/>
      <c r="D529" s="101"/>
    </row>
    <row r="530" spans="1:4">
      <c r="A530" s="101"/>
      <c r="B530" s="101"/>
      <c r="C530" s="101"/>
      <c r="D530" s="101"/>
    </row>
    <row r="531" spans="1:4">
      <c r="A531" s="101"/>
      <c r="B531" s="101"/>
      <c r="C531" s="101"/>
      <c r="D531" s="101"/>
    </row>
    <row r="532" spans="1:4">
      <c r="A532" s="101"/>
      <c r="B532" s="101"/>
      <c r="C532" s="101"/>
      <c r="D532" s="101"/>
    </row>
    <row r="533" spans="1:4">
      <c r="A533" s="101"/>
      <c r="B533" s="101"/>
      <c r="C533" s="101"/>
      <c r="D533" s="101"/>
    </row>
    <row r="534" spans="1:4">
      <c r="A534" s="101"/>
      <c r="B534" s="101"/>
      <c r="C534" s="101"/>
      <c r="D534" s="101"/>
    </row>
    <row r="535" spans="1:4">
      <c r="A535" s="101"/>
      <c r="B535" s="101"/>
      <c r="C535" s="101"/>
      <c r="D535" s="101"/>
    </row>
    <row r="536" spans="1:4">
      <c r="A536" s="101"/>
      <c r="B536" s="101"/>
      <c r="C536" s="101"/>
      <c r="D536" s="101"/>
    </row>
    <row r="537" spans="1:4">
      <c r="A537" s="101"/>
      <c r="B537" s="101"/>
      <c r="C537" s="101"/>
      <c r="D537" s="101"/>
    </row>
    <row r="538" spans="1:4">
      <c r="A538" s="101"/>
      <c r="B538" s="101"/>
      <c r="C538" s="101"/>
      <c r="D538" s="101"/>
    </row>
    <row r="539" spans="1:4">
      <c r="A539" s="101"/>
      <c r="B539" s="101"/>
      <c r="C539" s="101"/>
      <c r="D539" s="101"/>
    </row>
    <row r="540" spans="1:4">
      <c r="A540" s="101"/>
      <c r="B540" s="101"/>
      <c r="C540" s="101"/>
      <c r="D540" s="101"/>
    </row>
    <row r="541" spans="1:4">
      <c r="A541" s="101"/>
      <c r="B541" s="101"/>
      <c r="C541" s="101"/>
      <c r="D541" s="101"/>
    </row>
    <row r="542" spans="1:4">
      <c r="A542" s="101"/>
      <c r="B542" s="101"/>
      <c r="C542" s="101"/>
      <c r="D542" s="101"/>
    </row>
    <row r="543" spans="1:4">
      <c r="A543" s="101"/>
      <c r="B543" s="101"/>
      <c r="C543" s="101"/>
      <c r="D543" s="101"/>
    </row>
    <row r="544" spans="1:4">
      <c r="A544" s="101"/>
      <c r="B544" s="101"/>
      <c r="C544" s="101"/>
      <c r="D544" s="101"/>
    </row>
    <row r="545" spans="1:4">
      <c r="A545" s="101"/>
      <c r="B545" s="101"/>
      <c r="C545" s="101"/>
      <c r="D545" s="101"/>
    </row>
    <row r="546" spans="1:4">
      <c r="A546" s="101"/>
      <c r="B546" s="101"/>
      <c r="C546" s="101"/>
      <c r="D546" s="101"/>
    </row>
    <row r="547" spans="1:4">
      <c r="A547" s="101"/>
      <c r="B547" s="101"/>
      <c r="C547" s="101"/>
      <c r="D547" s="101"/>
    </row>
    <row r="548" spans="1:4">
      <c r="A548" s="101"/>
      <c r="B548" s="101"/>
      <c r="C548" s="101"/>
      <c r="D548" s="101"/>
    </row>
    <row r="549" spans="1:4">
      <c r="A549" s="101"/>
      <c r="B549" s="101"/>
      <c r="C549" s="101"/>
      <c r="D549" s="101"/>
    </row>
    <row r="550" spans="1:4">
      <c r="A550" s="101"/>
      <c r="B550" s="101"/>
      <c r="C550" s="101"/>
      <c r="D550" s="101"/>
    </row>
    <row r="551" spans="1:4">
      <c r="A551" s="101"/>
      <c r="B551" s="101"/>
      <c r="C551" s="101"/>
      <c r="D551" s="101"/>
    </row>
    <row r="552" spans="1:4">
      <c r="A552" s="101"/>
      <c r="B552" s="101"/>
      <c r="C552" s="101"/>
      <c r="D552" s="101"/>
    </row>
    <row r="553" spans="1:4">
      <c r="A553" s="101"/>
      <c r="B553" s="101"/>
      <c r="C553" s="101"/>
      <c r="D553" s="101"/>
    </row>
    <row r="554" spans="1:4">
      <c r="A554" s="101"/>
      <c r="B554" s="101"/>
      <c r="C554" s="101"/>
      <c r="D554" s="101"/>
    </row>
    <row r="555" spans="1:4">
      <c r="A555" s="101"/>
      <c r="B555" s="101"/>
      <c r="C555" s="101"/>
      <c r="D555" s="101"/>
    </row>
    <row r="556" spans="1:4">
      <c r="A556" s="101"/>
      <c r="B556" s="101"/>
      <c r="C556" s="101"/>
      <c r="D556" s="101"/>
    </row>
    <row r="557" spans="1:4">
      <c r="A557" s="101"/>
      <c r="B557" s="101"/>
      <c r="C557" s="101"/>
      <c r="D557" s="101"/>
    </row>
    <row r="558" spans="1:4">
      <c r="A558" s="101"/>
      <c r="B558" s="101"/>
      <c r="C558" s="101"/>
      <c r="D558" s="101"/>
    </row>
    <row r="559" spans="1:4">
      <c r="A559" s="101"/>
      <c r="B559" s="101"/>
      <c r="C559" s="101"/>
      <c r="D559" s="101"/>
    </row>
    <row r="560" spans="1:4">
      <c r="A560" s="101"/>
      <c r="B560" s="101"/>
      <c r="C560" s="101"/>
      <c r="D560" s="101"/>
    </row>
    <row r="561" spans="1:4">
      <c r="A561" s="101"/>
      <c r="B561" s="101"/>
      <c r="C561" s="101"/>
      <c r="D561" s="101"/>
    </row>
    <row r="562" spans="1:4">
      <c r="A562" s="101"/>
      <c r="B562" s="101"/>
      <c r="C562" s="101"/>
      <c r="D562" s="101"/>
    </row>
    <row r="563" spans="1:4">
      <c r="A563" s="101"/>
      <c r="B563" s="101"/>
      <c r="C563" s="101"/>
      <c r="D563" s="101"/>
    </row>
    <row r="564" spans="1:4">
      <c r="A564" s="101"/>
      <c r="B564" s="101"/>
      <c r="C564" s="101"/>
      <c r="D564" s="101"/>
    </row>
    <row r="565" spans="1:4">
      <c r="A565" s="101"/>
      <c r="B565" s="101"/>
      <c r="C565" s="101"/>
      <c r="D565" s="101"/>
    </row>
    <row r="566" spans="1:4">
      <c r="A566" s="101"/>
      <c r="B566" s="101"/>
      <c r="C566" s="101"/>
      <c r="D566" s="101"/>
    </row>
    <row r="567" spans="1:4">
      <c r="A567" s="101"/>
      <c r="B567" s="101"/>
      <c r="C567" s="101"/>
      <c r="D567" s="101"/>
    </row>
    <row r="568" spans="1:4">
      <c r="A568" s="101"/>
      <c r="B568" s="101"/>
      <c r="C568" s="101"/>
      <c r="D568" s="101"/>
    </row>
    <row r="569" spans="1:4">
      <c r="A569" s="101"/>
      <c r="B569" s="101"/>
      <c r="C569" s="101"/>
      <c r="D569" s="101"/>
    </row>
    <row r="570" spans="1:4">
      <c r="A570" s="101"/>
      <c r="B570" s="101"/>
      <c r="C570" s="101"/>
      <c r="D570" s="101"/>
    </row>
    <row r="571" spans="1:4">
      <c r="A571" s="101"/>
      <c r="B571" s="101"/>
      <c r="C571" s="101"/>
      <c r="D571" s="101"/>
    </row>
    <row r="572" spans="1:4">
      <c r="A572" s="101"/>
      <c r="B572" s="101"/>
      <c r="C572" s="101"/>
      <c r="D572" s="101"/>
    </row>
    <row r="573" spans="1:4">
      <c r="A573" s="101"/>
      <c r="B573" s="101"/>
      <c r="C573" s="101"/>
      <c r="D573" s="101"/>
    </row>
    <row r="574" spans="1:4">
      <c r="A574" s="101"/>
      <c r="B574" s="101"/>
      <c r="C574" s="101"/>
      <c r="D574" s="101"/>
    </row>
    <row r="575" spans="1:4">
      <c r="A575" s="101"/>
      <c r="B575" s="101"/>
      <c r="C575" s="101"/>
      <c r="D575" s="101"/>
    </row>
    <row r="576" spans="1:4">
      <c r="A576" s="101"/>
      <c r="B576" s="101"/>
      <c r="C576" s="101"/>
      <c r="D576" s="101"/>
    </row>
    <row r="577" spans="1:4">
      <c r="A577" s="101"/>
      <c r="B577" s="101"/>
      <c r="C577" s="101"/>
      <c r="D577" s="101"/>
    </row>
    <row r="578" spans="1:4">
      <c r="A578" s="101"/>
      <c r="B578" s="101"/>
      <c r="C578" s="101"/>
      <c r="D578" s="101"/>
    </row>
    <row r="579" spans="1:4">
      <c r="A579" s="101"/>
      <c r="B579" s="101"/>
      <c r="C579" s="101"/>
      <c r="D579" s="101"/>
    </row>
    <row r="580" spans="1:4">
      <c r="A580" s="101"/>
      <c r="B580" s="101"/>
      <c r="C580" s="101"/>
      <c r="D580" s="101"/>
    </row>
    <row r="581" spans="1:4">
      <c r="A581" s="101"/>
      <c r="B581" s="101"/>
      <c r="C581" s="101"/>
      <c r="D581" s="101"/>
    </row>
    <row r="582" spans="1:4">
      <c r="A582" s="101"/>
      <c r="B582" s="101"/>
      <c r="C582" s="101"/>
      <c r="D582" s="101"/>
    </row>
    <row r="583" spans="1:4">
      <c r="A583" s="101"/>
      <c r="B583" s="101"/>
      <c r="C583" s="101"/>
      <c r="D583" s="101"/>
    </row>
    <row r="584" spans="1:4">
      <c r="A584" s="101"/>
      <c r="B584" s="101"/>
      <c r="C584" s="101"/>
      <c r="D584" s="101"/>
    </row>
    <row r="585" spans="1:4">
      <c r="A585" s="101"/>
      <c r="B585" s="101"/>
      <c r="C585" s="101"/>
      <c r="D585" s="101"/>
    </row>
    <row r="586" spans="1:4">
      <c r="A586" s="101"/>
      <c r="B586" s="101"/>
      <c r="C586" s="101"/>
      <c r="D586" s="101"/>
    </row>
    <row r="587" spans="1:4">
      <c r="A587" s="101"/>
      <c r="B587" s="101"/>
      <c r="C587" s="101"/>
      <c r="D587" s="101"/>
    </row>
    <row r="588" spans="1:4">
      <c r="A588" s="101"/>
      <c r="B588" s="101"/>
      <c r="C588" s="101"/>
      <c r="D588" s="101"/>
    </row>
    <row r="589" spans="1:4">
      <c r="A589" s="101"/>
      <c r="B589" s="101"/>
      <c r="C589" s="101"/>
      <c r="D589" s="101"/>
    </row>
    <row r="590" spans="1:4">
      <c r="A590" s="101"/>
      <c r="B590" s="101"/>
      <c r="C590" s="101"/>
      <c r="D590" s="101"/>
    </row>
    <row r="591" spans="1:4">
      <c r="A591" s="101"/>
      <c r="B591" s="101"/>
      <c r="C591" s="101"/>
      <c r="D591" s="101"/>
    </row>
    <row r="592" spans="1:4">
      <c r="A592" s="101"/>
      <c r="B592" s="101"/>
      <c r="C592" s="101"/>
      <c r="D592" s="101"/>
    </row>
    <row r="593" spans="1:4">
      <c r="A593" s="101"/>
      <c r="B593" s="101"/>
      <c r="C593" s="101"/>
      <c r="D593" s="101"/>
    </row>
    <row r="594" spans="1:4">
      <c r="A594" s="101"/>
      <c r="B594" s="101"/>
      <c r="C594" s="101"/>
      <c r="D594" s="101"/>
    </row>
    <row r="595" spans="1:4">
      <c r="A595" s="101"/>
      <c r="B595" s="101"/>
      <c r="C595" s="101"/>
      <c r="D595" s="101"/>
    </row>
    <row r="596" spans="1:4">
      <c r="A596" s="101"/>
      <c r="B596" s="101"/>
      <c r="C596" s="101"/>
      <c r="D596" s="101"/>
    </row>
    <row r="597" spans="1:4">
      <c r="A597" s="101"/>
      <c r="B597" s="101"/>
      <c r="C597" s="101"/>
      <c r="D597" s="101"/>
    </row>
    <row r="598" spans="1:4">
      <c r="A598" s="101"/>
      <c r="B598" s="101"/>
      <c r="C598" s="101"/>
      <c r="D598" s="101"/>
    </row>
    <row r="599" spans="1:4">
      <c r="A599" s="101"/>
      <c r="B599" s="101"/>
      <c r="C599" s="101"/>
      <c r="D599" s="101"/>
    </row>
    <row r="600" spans="1:4">
      <c r="A600" s="101"/>
      <c r="B600" s="101"/>
      <c r="C600" s="101"/>
      <c r="D600" s="101"/>
    </row>
    <row r="601" spans="1:4">
      <c r="A601" s="101"/>
      <c r="B601" s="101"/>
      <c r="C601" s="101"/>
      <c r="D601" s="101"/>
    </row>
    <row r="602" spans="1:4">
      <c r="A602" s="101"/>
      <c r="B602" s="101"/>
      <c r="C602" s="101"/>
      <c r="D602" s="101"/>
    </row>
    <row r="603" spans="1:4">
      <c r="A603" s="101"/>
      <c r="B603" s="101"/>
      <c r="C603" s="101"/>
      <c r="D603" s="101"/>
    </row>
    <row r="604" spans="1:4">
      <c r="A604" s="101"/>
      <c r="B604" s="101"/>
      <c r="C604" s="101"/>
      <c r="D604" s="101"/>
    </row>
    <row r="605" spans="1:4">
      <c r="A605" s="101"/>
      <c r="B605" s="101"/>
      <c r="C605" s="101"/>
      <c r="D605" s="101"/>
    </row>
    <row r="606" spans="1:4">
      <c r="A606" s="101"/>
      <c r="B606" s="101"/>
      <c r="C606" s="101"/>
      <c r="D606" s="101"/>
    </row>
    <row r="607" spans="1:4">
      <c r="A607" s="101"/>
      <c r="B607" s="101"/>
      <c r="C607" s="101"/>
      <c r="D607" s="101"/>
    </row>
    <row r="608" spans="1:4">
      <c r="A608" s="101"/>
      <c r="B608" s="101"/>
      <c r="C608" s="101"/>
      <c r="D608" s="101"/>
    </row>
    <row r="609" spans="1:4">
      <c r="A609" s="101"/>
      <c r="B609" s="101"/>
      <c r="C609" s="101"/>
      <c r="D609" s="101"/>
    </row>
    <row r="610" spans="1:4">
      <c r="A610" s="101"/>
      <c r="B610" s="101"/>
      <c r="C610" s="101"/>
      <c r="D610" s="101"/>
    </row>
  </sheetData>
  <sheetProtection algorithmName="SHA-512" hashValue="87XZKRkg3IKum+mAwyujKKqpqrdVj9dfziKCfbk7gKGAn0+ehLf0aNvkzDxZG+nouGiKKH/GefndFdeltVR4Rw==" saltValue="q6cUwYsFcbNGkIcszF/Nvg==" spinCount="100000" sheet="1" objects="1" scenarios="1"/>
  <mergeCells count="35">
    <mergeCell ref="B1:C1"/>
    <mergeCell ref="D1:E1"/>
    <mergeCell ref="G1:H1"/>
    <mergeCell ref="I1:J1"/>
    <mergeCell ref="A13:B13"/>
    <mergeCell ref="G13:H13"/>
    <mergeCell ref="A14:B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A21:E21"/>
    <mergeCell ref="G21:I21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A56:C56"/>
    <mergeCell ref="D56:E56"/>
    <mergeCell ref="A57:B57"/>
    <mergeCell ref="A58:B58"/>
    <mergeCell ref="A59:B59"/>
  </mergeCells>
  <conditionalFormatting sqref="H10">
    <cfRule type="cellIs" dxfId="0" priority="17" operator="lessThan">
      <formula>0</formula>
    </cfRule>
    <cfRule type="cellIs" dxfId="1" priority="18" operator="lessThan">
      <formula>0</formula>
    </cfRule>
  </conditionalFormatting>
  <conditionalFormatting sqref="J10">
    <cfRule type="cellIs" dxfId="0" priority="15" operator="lessThan">
      <formula>0</formula>
    </cfRule>
    <cfRule type="cellIs" dxfId="1" priority="16" operator="lessThan">
      <formula>0</formula>
    </cfRule>
  </conditionalFormatting>
  <conditionalFormatting sqref="I13">
    <cfRule type="cellIs" dxfId="0" priority="7" operator="lessThan">
      <formula>0</formula>
    </cfRule>
    <cfRule type="cellIs" dxfId="1" priority="8" operator="lessThan">
      <formula>0</formula>
    </cfRule>
  </conditionalFormatting>
  <conditionalFormatting sqref="I15:I19">
    <cfRule type="cellIs" dxfId="0" priority="3" operator="lessThan">
      <formula>0</formula>
    </cfRule>
    <cfRule type="cellIs" dxfId="1" priority="4" operator="lessThan">
      <formula>0</formula>
    </cfRule>
  </conditionalFormatting>
  <conditionalFormatting sqref="I37:I43">
    <cfRule type="cellIs" dxfId="0" priority="1" operator="less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:B12 B23:B34 B36:B55">
      <formula1>PROVEEDORES</formula1>
    </dataValidation>
    <dataValidation type="list" allowBlank="1" showInputMessage="1" showErrorMessage="1" sqref="C3:C12 C23:C34 C36:C55">
      <formula1>CONCEPTOS</formula1>
    </dataValidation>
  </dataValidations>
  <pageMargins left="0.78740157480315" right="0.78740157480315" top="0.590551181102362" bottom="0.590551181102362" header="0" footer="0"/>
  <pageSetup paperSize="1" scale="81" orientation="portrait" horizontalDpi="360" verticalDpi="360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4"/>
  <sheetViews>
    <sheetView workbookViewId="0">
      <selection activeCell="G10" sqref="G10"/>
    </sheetView>
  </sheetViews>
  <sheetFormatPr defaultColWidth="11.5555555555556" defaultRowHeight="14.4" outlineLevelCol="7"/>
  <cols>
    <col min="1" max="1" width="6.11111111111111" style="84" customWidth="1"/>
    <col min="2" max="3" width="15.8888888888889" style="9" customWidth="1"/>
    <col min="4" max="4" width="29.3333333333333" style="85" customWidth="1"/>
    <col min="5" max="5" width="6.11111111111111" style="86" customWidth="1"/>
    <col min="6" max="6" width="32.6666666666667" style="4" customWidth="1"/>
    <col min="7" max="7" width="18" style="84" customWidth="1"/>
    <col min="8" max="8" width="8.66666666666667" style="87" customWidth="1"/>
    <col min="9" max="31" width="11.5555555555556" style="84"/>
    <col min="32" max="16384" width="11.5555555555556" style="4"/>
  </cols>
  <sheetData>
    <row r="1" s="84" customFormat="1" spans="4:8">
      <c r="D1" s="88"/>
      <c r="E1" s="86"/>
      <c r="F1" s="4"/>
      <c r="H1" s="87"/>
    </row>
    <row r="2" spans="2:8">
      <c r="B2" s="59" t="s">
        <v>64</v>
      </c>
      <c r="C2" s="41" t="s">
        <v>65</v>
      </c>
      <c r="D2" s="89" t="s">
        <v>66</v>
      </c>
      <c r="F2" s="25" t="s">
        <v>5</v>
      </c>
      <c r="G2" s="90" t="s">
        <v>7</v>
      </c>
      <c r="H2" s="78" t="s">
        <v>67</v>
      </c>
    </row>
    <row r="3" spans="2:8">
      <c r="B3" s="68">
        <f>SUM(B4:B34)</f>
        <v>0</v>
      </c>
      <c r="C3" s="64">
        <f>SUM(C4:C34)+DETALLADO!C69-DETALLADO!C61</f>
        <v>0</v>
      </c>
      <c r="D3" s="91"/>
      <c r="F3" s="75" t="str">
        <f>+DETALLADO!B3</f>
        <v>COMPRAS (M.P.)</v>
      </c>
      <c r="G3" s="28">
        <f>+DETALLADO!C3</f>
        <v>0</v>
      </c>
      <c r="H3" s="92" t="str">
        <f>IF(ISERROR(G3/$C$3),"0%",G3/$C$3)</f>
        <v>0%</v>
      </c>
    </row>
    <row r="4" spans="2:8">
      <c r="B4" s="13">
        <v>0</v>
      </c>
      <c r="C4" s="28">
        <f>+'1'!C20</f>
        <v>0</v>
      </c>
      <c r="D4" s="93">
        <f>+'1'!D1</f>
        <v>46143</v>
      </c>
      <c r="F4" s="75" t="str">
        <f>+DETALLADO!B25</f>
        <v>ASEO</v>
      </c>
      <c r="G4" s="28">
        <f>+DETALLADO!C25</f>
        <v>0</v>
      </c>
      <c r="H4" s="92" t="str">
        <f t="shared" ref="H4:H10" si="0">IF(ISERROR(G4/$C$3),"0%",G4/$C$3)</f>
        <v>0%</v>
      </c>
    </row>
    <row r="5" spans="2:8">
      <c r="B5" s="13">
        <v>0</v>
      </c>
      <c r="C5" s="28">
        <f>+'2'!C20</f>
        <v>0</v>
      </c>
      <c r="D5" s="93">
        <f>+'2'!D1</f>
        <v>46144</v>
      </c>
      <c r="F5" s="75" t="str">
        <f>+DETALLADO!B27</f>
        <v>DESECHABLES</v>
      </c>
      <c r="G5" s="28">
        <f>+DETALLADO!C27</f>
        <v>0</v>
      </c>
      <c r="H5" s="92" t="str">
        <f t="shared" si="0"/>
        <v>0%</v>
      </c>
    </row>
    <row r="6" spans="2:8">
      <c r="B6" s="13">
        <v>0</v>
      </c>
      <c r="C6" s="28">
        <f>+'3'!C20</f>
        <v>0</v>
      </c>
      <c r="D6" s="93">
        <f>+'3'!D1</f>
        <v>46145</v>
      </c>
      <c r="F6" s="75" t="str">
        <f>+DETALLADO!B38</f>
        <v>PAPELERIA Y DECORACION</v>
      </c>
      <c r="G6" s="28">
        <f>+DETALLADO!C38</f>
        <v>0</v>
      </c>
      <c r="H6" s="92" t="str">
        <f t="shared" si="0"/>
        <v>0%</v>
      </c>
    </row>
    <row r="7" spans="2:8">
      <c r="B7" s="13">
        <v>0</v>
      </c>
      <c r="C7" s="28">
        <f>+'4'!C20</f>
        <v>0</v>
      </c>
      <c r="D7" s="93">
        <f>+'4'!D1</f>
        <v>46146</v>
      </c>
      <c r="F7" s="75" t="str">
        <f>+DETALLADO!B34</f>
        <v>MANTENIMIENTO</v>
      </c>
      <c r="G7" s="28">
        <f>+DETALLADO!C34</f>
        <v>0</v>
      </c>
      <c r="H7" s="92" t="str">
        <f t="shared" si="0"/>
        <v>0%</v>
      </c>
    </row>
    <row r="8" spans="2:8">
      <c r="B8" s="13">
        <v>0</v>
      </c>
      <c r="C8" s="28">
        <f>+'5'!C20</f>
        <v>0</v>
      </c>
      <c r="D8" s="93">
        <f>+'5'!D1</f>
        <v>46147</v>
      </c>
      <c r="F8" s="75" t="str">
        <f>+DETALLADO!B22</f>
        <v>SEGURIDAD SOCIAL</v>
      </c>
      <c r="G8" s="28">
        <f>+DETALLADO!C22</f>
        <v>0</v>
      </c>
      <c r="H8" s="92" t="str">
        <f t="shared" si="0"/>
        <v>0%</v>
      </c>
    </row>
    <row r="9" spans="2:8">
      <c r="B9" s="13">
        <v>0</v>
      </c>
      <c r="C9" s="28">
        <f>+'6'!C20</f>
        <v>0</v>
      </c>
      <c r="D9" s="93">
        <f>+'6'!D1</f>
        <v>46148</v>
      </c>
      <c r="F9" s="75" t="str">
        <f>+DETALLADO!B23</f>
        <v>NÓMINA</v>
      </c>
      <c r="G9" s="28">
        <f>+DETALLADO!C23</f>
        <v>0</v>
      </c>
      <c r="H9" s="92" t="str">
        <f t="shared" si="0"/>
        <v>0%</v>
      </c>
    </row>
    <row r="10" spans="2:8">
      <c r="B10" s="13">
        <v>0</v>
      </c>
      <c r="C10" s="28">
        <f>+'7'!C20</f>
        <v>0</v>
      </c>
      <c r="D10" s="93">
        <f>+'7'!D1</f>
        <v>46149</v>
      </c>
      <c r="F10" s="75" t="str">
        <f>+DETALLADO!B24</f>
        <v>TURNOS Y H. EXTRAS</v>
      </c>
      <c r="G10" s="28">
        <f>+DETALLADO!C24</f>
        <v>0</v>
      </c>
      <c r="H10" s="92" t="str">
        <f t="shared" si="0"/>
        <v>0%</v>
      </c>
    </row>
    <row r="11" spans="2:4">
      <c r="B11" s="13">
        <v>0</v>
      </c>
      <c r="C11" s="28">
        <f>+'8'!C20</f>
        <v>0</v>
      </c>
      <c r="D11" s="93">
        <f>+'8'!D1</f>
        <v>46150</v>
      </c>
    </row>
    <row r="12" spans="2:8">
      <c r="B12" s="13">
        <v>0</v>
      </c>
      <c r="C12" s="28">
        <f>+'9'!C20</f>
        <v>0</v>
      </c>
      <c r="D12" s="93">
        <f>+'9'!D1</f>
        <v>46151</v>
      </c>
      <c r="F12" s="25" t="s">
        <v>68</v>
      </c>
      <c r="G12" s="25"/>
      <c r="H12" s="25"/>
    </row>
    <row r="13" spans="2:8">
      <c r="B13" s="13">
        <v>0</v>
      </c>
      <c r="C13" s="28">
        <f>+'10'!C20</f>
        <v>0</v>
      </c>
      <c r="D13" s="93">
        <f>+'10'!D1</f>
        <v>46152</v>
      </c>
      <c r="F13" s="34" t="s">
        <v>69</v>
      </c>
      <c r="G13" s="13">
        <v>0</v>
      </c>
      <c r="H13" s="92"/>
    </row>
    <row r="14" spans="2:8">
      <c r="B14" s="13">
        <v>0</v>
      </c>
      <c r="C14" s="28">
        <f>+'11'!C20</f>
        <v>0</v>
      </c>
      <c r="D14" s="93">
        <f>+'11'!D1</f>
        <v>46153</v>
      </c>
      <c r="F14" s="34" t="s">
        <v>70</v>
      </c>
      <c r="G14" s="13">
        <v>0</v>
      </c>
      <c r="H14" s="92"/>
    </row>
    <row r="15" spans="2:8">
      <c r="B15" s="13">
        <v>0</v>
      </c>
      <c r="C15" s="28">
        <f>+'12'!C20</f>
        <v>0</v>
      </c>
      <c r="D15" s="93">
        <f>+'12'!D1</f>
        <v>46154</v>
      </c>
      <c r="F15" s="34" t="s">
        <v>71</v>
      </c>
      <c r="G15" s="13">
        <v>0</v>
      </c>
      <c r="H15" s="92"/>
    </row>
    <row r="16" spans="2:8">
      <c r="B16" s="13">
        <v>0</v>
      </c>
      <c r="C16" s="28">
        <f>+'13'!C20</f>
        <v>0</v>
      </c>
      <c r="D16" s="93">
        <f>+'13'!D1</f>
        <v>46155</v>
      </c>
      <c r="F16" s="34" t="s">
        <v>72</v>
      </c>
      <c r="G16" s="28">
        <f>+DETALLADO!C3</f>
        <v>0</v>
      </c>
      <c r="H16" s="92" t="str">
        <f>IF(ISERROR(G16/C3),"0%",G16/C3)</f>
        <v>0%</v>
      </c>
    </row>
    <row r="17" spans="2:8">
      <c r="B17" s="13">
        <v>0</v>
      </c>
      <c r="C17" s="28">
        <f>+'14'!C20</f>
        <v>0</v>
      </c>
      <c r="D17" s="93">
        <f>+'14'!D1</f>
        <v>46156</v>
      </c>
      <c r="F17" s="67" t="s">
        <v>16</v>
      </c>
      <c r="G17" s="68">
        <f>+G13-G14-G15+G16</f>
        <v>0</v>
      </c>
      <c r="H17" s="94" t="str">
        <f>IF(ISERROR(G17/C3),"0%",G17/C3)</f>
        <v>0%</v>
      </c>
    </row>
    <row r="18" spans="2:7">
      <c r="B18" s="13">
        <v>0</v>
      </c>
      <c r="C18" s="28">
        <f>+'15'!C20</f>
        <v>0</v>
      </c>
      <c r="D18" s="93">
        <f>+'15'!D1</f>
        <v>46157</v>
      </c>
      <c r="G18" s="9"/>
    </row>
    <row r="19" spans="2:8">
      <c r="B19" s="13">
        <v>0</v>
      </c>
      <c r="C19" s="28">
        <f>+'16'!C20</f>
        <v>0</v>
      </c>
      <c r="D19" s="93">
        <f>+'16'!D1</f>
        <v>46158</v>
      </c>
      <c r="F19" s="25" t="s">
        <v>73</v>
      </c>
      <c r="G19" s="25"/>
      <c r="H19" s="25"/>
    </row>
    <row r="20" spans="2:8">
      <c r="B20" s="13">
        <v>0</v>
      </c>
      <c r="C20" s="28">
        <f>+'17'!C20</f>
        <v>0</v>
      </c>
      <c r="D20" s="93">
        <f>+'17'!D1</f>
        <v>46159</v>
      </c>
      <c r="F20" s="34" t="s">
        <v>74</v>
      </c>
      <c r="G20" s="28">
        <f>+DETALLADO!C22</f>
        <v>0</v>
      </c>
      <c r="H20" s="92" t="str">
        <f>IF(ISERROR(G20/$C$3),"0%",G20/$C$3)</f>
        <v>0%</v>
      </c>
    </row>
    <row r="21" spans="2:8">
      <c r="B21" s="13">
        <v>0</v>
      </c>
      <c r="C21" s="28">
        <f>+'18'!C20</f>
        <v>0</v>
      </c>
      <c r="D21" s="93">
        <f>+'18'!D1</f>
        <v>46160</v>
      </c>
      <c r="F21" s="34" t="s">
        <v>75</v>
      </c>
      <c r="G21" s="28">
        <f>+DETALLADO!C23</f>
        <v>0</v>
      </c>
      <c r="H21" s="92" t="str">
        <f t="shared" ref="H21:H23" si="1">IF(ISERROR(G21/$C$3),"0%",G21/$C$3)</f>
        <v>0%</v>
      </c>
    </row>
    <row r="22" spans="2:8">
      <c r="B22" s="13">
        <v>0</v>
      </c>
      <c r="C22" s="28">
        <f>+'19'!C20</f>
        <v>0</v>
      </c>
      <c r="D22" s="93">
        <f>+'19'!D1</f>
        <v>46161</v>
      </c>
      <c r="F22" s="34" t="s">
        <v>76</v>
      </c>
      <c r="G22" s="28">
        <f>+DETALLADO!C24</f>
        <v>0</v>
      </c>
      <c r="H22" s="92" t="str">
        <f t="shared" si="1"/>
        <v>0%</v>
      </c>
    </row>
    <row r="23" spans="2:8">
      <c r="B23" s="13">
        <v>0</v>
      </c>
      <c r="C23" s="28">
        <f>+'20'!C20</f>
        <v>0</v>
      </c>
      <c r="D23" s="93">
        <f>+'20'!D1</f>
        <v>46162</v>
      </c>
      <c r="F23" s="67" t="s">
        <v>16</v>
      </c>
      <c r="G23" s="68">
        <f>SUM(G20:G22)</f>
        <v>0</v>
      </c>
      <c r="H23" s="94" t="str">
        <f t="shared" si="1"/>
        <v>0%</v>
      </c>
    </row>
    <row r="24" spans="2:4">
      <c r="B24" s="13">
        <v>0</v>
      </c>
      <c r="C24" s="28">
        <f>+'21'!C20</f>
        <v>0</v>
      </c>
      <c r="D24" s="93">
        <f>+'21'!D1</f>
        <v>46163</v>
      </c>
    </row>
    <row r="25" spans="2:8">
      <c r="B25" s="13">
        <v>0</v>
      </c>
      <c r="C25" s="28">
        <f>+'22'!C20</f>
        <v>0</v>
      </c>
      <c r="D25" s="93">
        <f>+'22'!D1</f>
        <v>46164</v>
      </c>
      <c r="F25" s="95" t="s">
        <v>77</v>
      </c>
      <c r="G25" s="95"/>
      <c r="H25" s="95"/>
    </row>
    <row r="26" spans="2:8">
      <c r="B26" s="13">
        <v>0</v>
      </c>
      <c r="C26" s="28">
        <f>+'23'!C20</f>
        <v>0</v>
      </c>
      <c r="D26" s="93">
        <f>+'23'!D1</f>
        <v>46165</v>
      </c>
      <c r="F26" s="75" t="s">
        <v>78</v>
      </c>
      <c r="G26" s="96">
        <v>0</v>
      </c>
      <c r="H26" s="97" t="s">
        <v>67</v>
      </c>
    </row>
    <row r="27" spans="2:8">
      <c r="B27" s="13">
        <v>0</v>
      </c>
      <c r="C27" s="28">
        <f>+'24'!C20</f>
        <v>0</v>
      </c>
      <c r="D27" s="93">
        <f>+'24'!D1</f>
        <v>46166</v>
      </c>
      <c r="F27" s="75" t="s">
        <v>79</v>
      </c>
      <c r="G27" s="59">
        <f>G26*H27</f>
        <v>0</v>
      </c>
      <c r="H27" s="98">
        <v>0</v>
      </c>
    </row>
    <row r="28" spans="2:8">
      <c r="B28" s="13">
        <v>0</v>
      </c>
      <c r="C28" s="28">
        <f>+'25'!C20</f>
        <v>0</v>
      </c>
      <c r="D28" s="93">
        <f>+'25'!D1</f>
        <v>46167</v>
      </c>
      <c r="F28" s="75" t="s">
        <v>75</v>
      </c>
      <c r="G28" s="59">
        <f>G26*H28</f>
        <v>0</v>
      </c>
      <c r="H28" s="98">
        <v>0</v>
      </c>
    </row>
    <row r="29" spans="2:4">
      <c r="B29" s="13">
        <v>0</v>
      </c>
      <c r="C29" s="28">
        <f>+'26'!C20</f>
        <v>0</v>
      </c>
      <c r="D29" s="93">
        <f>+'26'!D1</f>
        <v>46168</v>
      </c>
    </row>
    <row r="30" spans="2:8">
      <c r="B30" s="13">
        <v>0</v>
      </c>
      <c r="C30" s="28">
        <f>+'27'!C20</f>
        <v>0</v>
      </c>
      <c r="D30" s="93">
        <f>+'27'!D1</f>
        <v>46169</v>
      </c>
      <c r="F30" s="95" t="s">
        <v>80</v>
      </c>
      <c r="G30" s="95"/>
      <c r="H30" s="95"/>
    </row>
    <row r="31" spans="2:8">
      <c r="B31" s="13">
        <v>0</v>
      </c>
      <c r="C31" s="28">
        <f>+'28'!C20</f>
        <v>0</v>
      </c>
      <c r="D31" s="93">
        <f>+'28'!D1</f>
        <v>46170</v>
      </c>
      <c r="F31" s="75" t="s">
        <v>78</v>
      </c>
      <c r="G31" s="96">
        <v>0</v>
      </c>
      <c r="H31" s="97" t="s">
        <v>67</v>
      </c>
    </row>
    <row r="32" spans="2:8">
      <c r="B32" s="13">
        <v>0</v>
      </c>
      <c r="C32" s="28">
        <f>+'29'!C20</f>
        <v>0</v>
      </c>
      <c r="D32" s="93">
        <f>+'29'!D1</f>
        <v>46171</v>
      </c>
      <c r="F32" s="75" t="s">
        <v>79</v>
      </c>
      <c r="G32" s="96">
        <v>0</v>
      </c>
      <c r="H32" s="94" t="str">
        <f>IF(ISERROR(G32/G31),"0%",G32/G31)</f>
        <v>0%</v>
      </c>
    </row>
    <row r="33" spans="2:8">
      <c r="B33" s="13">
        <v>0</v>
      </c>
      <c r="C33" s="28">
        <f>+'30'!C20</f>
        <v>0</v>
      </c>
      <c r="D33" s="93">
        <f>+'30'!D1</f>
        <v>46172</v>
      </c>
      <c r="F33" s="75" t="s">
        <v>75</v>
      </c>
      <c r="G33" s="96">
        <v>0</v>
      </c>
      <c r="H33" s="94" t="str">
        <f>IF(ISERROR(G33/G31),"0%",G33/G31)</f>
        <v>0%</v>
      </c>
    </row>
    <row r="34" spans="2:4">
      <c r="B34" s="13">
        <v>0</v>
      </c>
      <c r="C34" s="28">
        <f>+'31'!C20</f>
        <v>0</v>
      </c>
      <c r="D34" s="93">
        <f>+'31'!D1</f>
        <v>46173</v>
      </c>
    </row>
  </sheetData>
  <sheetProtection algorithmName="SHA-512" hashValue="fZyDntqk5g4nxj1VIbja0mMJpUEQ44q5epJ4Ns0WsVblV3txlbZtOG7O1vmmAW2g1sXLX05XgP13Y6UUlIOwuw==" saltValue="JvGtFmE7wliT+IZaKuOMDQ==" spinCount="100000" sheet="1" objects="1" scenarios="1"/>
  <mergeCells count="6">
    <mergeCell ref="F12:H12"/>
    <mergeCell ref="F19:H19"/>
    <mergeCell ref="F25:H25"/>
    <mergeCell ref="F30:H30"/>
    <mergeCell ref="D2:D3"/>
    <mergeCell ref="H13:H15"/>
  </mergeCells>
  <pageMargins left="0.7" right="0.7" top="0.75" bottom="0.75" header="0.3" footer="0.3"/>
  <pageSetup paperSize="9" orientation="portrait" horizontalDpi="360" verticalDpi="36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26"/>
  <sheetViews>
    <sheetView tabSelected="1" workbookViewId="0">
      <selection activeCell="B12" sqref="B12"/>
    </sheetView>
  </sheetViews>
  <sheetFormatPr defaultColWidth="11.5555555555556" defaultRowHeight="14.4"/>
  <cols>
    <col min="1" max="1" width="4.33333333333333" style="1" customWidth="1"/>
    <col min="2" max="2" width="42.4444444444444" style="4" customWidth="1"/>
    <col min="3" max="3" width="19" style="9" customWidth="1"/>
    <col min="4" max="4" width="8.55555555555556" style="4" customWidth="1"/>
    <col min="5" max="5" width="5.44444444444444" style="4" customWidth="1"/>
    <col min="6" max="6" width="11.6666666666667" style="10" customWidth="1"/>
    <col min="7" max="7" width="13.7777777777778" style="11" customWidth="1"/>
    <col min="8" max="8" width="16.8888888888889" style="12" customWidth="1"/>
    <col min="9" max="9" width="15.6666666666667" style="12" customWidth="1"/>
    <col min="10" max="10" width="17.8888888888889" style="12" customWidth="1"/>
    <col min="11" max="11" width="13.4444444444444" style="13" customWidth="1"/>
    <col min="12" max="12" width="5" style="1" customWidth="1"/>
    <col min="13" max="13" width="11.3333333333333" style="10" customWidth="1"/>
    <col min="14" max="14" width="13.7777777777778" style="11" customWidth="1"/>
    <col min="15" max="15" width="16.8888888888889" style="12" customWidth="1"/>
    <col min="16" max="16" width="15.6666666666667" style="12" customWidth="1"/>
    <col min="17" max="17" width="17.8888888888889" style="12" customWidth="1"/>
    <col min="18" max="18" width="15.8888888888889" style="13" customWidth="1"/>
    <col min="19" max="19" width="5" style="1" customWidth="1"/>
    <col min="20" max="20" width="11.3333333333333" style="10" customWidth="1"/>
    <col min="21" max="21" width="13.7777777777778" style="11" customWidth="1"/>
    <col min="22" max="22" width="16.8888888888889" style="12" customWidth="1"/>
    <col min="23" max="23" width="15.6666666666667" style="12" customWidth="1"/>
    <col min="24" max="24" width="17.8888888888889" style="12" customWidth="1"/>
    <col min="25" max="25" width="13.4444444444444" style="13" customWidth="1"/>
    <col min="26" max="26" width="5" style="1" customWidth="1"/>
    <col min="27" max="27" width="11.3333333333333" style="10" customWidth="1"/>
    <col min="28" max="28" width="17.8888888888889" style="12" customWidth="1"/>
    <col min="29" max="29" width="15.8888888888889" style="14" customWidth="1"/>
    <col min="30" max="216" width="4.33333333333333" style="1" customWidth="1"/>
    <col min="217" max="16384" width="11.5555555555556" style="1"/>
  </cols>
  <sheetData>
    <row r="1" spans="1:29">
      <c r="A1" s="15"/>
      <c r="B1" s="16" t="s">
        <v>81</v>
      </c>
      <c r="C1" s="16"/>
      <c r="D1" s="16"/>
      <c r="E1" s="17"/>
      <c r="F1" s="18"/>
      <c r="G1" s="19"/>
      <c r="H1" s="20"/>
      <c r="I1" s="36"/>
      <c r="J1" s="36"/>
      <c r="K1" s="37"/>
      <c r="M1" s="38"/>
      <c r="N1" s="39"/>
      <c r="O1" s="40"/>
      <c r="P1" s="40"/>
      <c r="Q1" s="45"/>
      <c r="R1" s="46"/>
      <c r="T1" s="47"/>
      <c r="U1" s="48"/>
      <c r="V1" s="49"/>
      <c r="W1" s="50"/>
      <c r="X1" s="50"/>
      <c r="Y1" s="57"/>
      <c r="AA1" s="38"/>
      <c r="AB1" s="45"/>
      <c r="AC1" s="58"/>
    </row>
    <row r="2" spans="2:29">
      <c r="B2" s="21" t="s">
        <v>5</v>
      </c>
      <c r="C2" s="22" t="s">
        <v>82</v>
      </c>
      <c r="D2" s="22" t="s">
        <v>67</v>
      </c>
      <c r="E2" s="17"/>
      <c r="F2" s="23" t="s">
        <v>66</v>
      </c>
      <c r="G2" s="24" t="s">
        <v>3</v>
      </c>
      <c r="H2" s="25" t="s">
        <v>4</v>
      </c>
      <c r="I2" s="25" t="s">
        <v>5</v>
      </c>
      <c r="J2" s="25" t="s">
        <v>6</v>
      </c>
      <c r="K2" s="41" t="s">
        <v>7</v>
      </c>
      <c r="M2" s="42" t="s">
        <v>83</v>
      </c>
      <c r="N2" s="43" t="s">
        <v>3</v>
      </c>
      <c r="O2" s="44" t="s">
        <v>4</v>
      </c>
      <c r="P2" s="44" t="s">
        <v>5</v>
      </c>
      <c r="Q2" s="44" t="s">
        <v>6</v>
      </c>
      <c r="R2" s="51" t="s">
        <v>38</v>
      </c>
      <c r="T2" s="52" t="s">
        <v>83</v>
      </c>
      <c r="U2" s="53" t="s">
        <v>3</v>
      </c>
      <c r="V2" s="54" t="s">
        <v>4</v>
      </c>
      <c r="W2" s="54" t="s">
        <v>5</v>
      </c>
      <c r="X2" s="54" t="s">
        <v>6</v>
      </c>
      <c r="Y2" s="59" t="s">
        <v>52</v>
      </c>
      <c r="AA2" s="42" t="s">
        <v>83</v>
      </c>
      <c r="AB2" s="44" t="s">
        <v>6</v>
      </c>
      <c r="AC2" s="60" t="s">
        <v>38</v>
      </c>
    </row>
    <row r="3" spans="1:29">
      <c r="A3" s="26"/>
      <c r="B3" s="27" t="s">
        <v>84</v>
      </c>
      <c r="C3" s="28">
        <f>SUMIF(I:I,B3,K:K)+SUMIF(P:P,B3,R:R)+SUMIF(W:W,B3,Y:Y)</f>
        <v>0</v>
      </c>
      <c r="D3" s="29" t="str">
        <f>IF(ISERROR(C3/TOTAL!$C$3),"0%",C3/TOTAL!$C$3)</f>
        <v>0%</v>
      </c>
      <c r="E3" s="17"/>
      <c r="F3" s="30">
        <f>+'1'!D1</f>
        <v>46143</v>
      </c>
      <c r="G3" s="11" t="str">
        <f>+'1'!A3</f>
        <v/>
      </c>
      <c r="H3" s="11">
        <f>+'1'!B3</f>
        <v>0</v>
      </c>
      <c r="I3" s="11">
        <f>+'1'!C3</f>
        <v>0</v>
      </c>
      <c r="J3" s="11">
        <f>+'1'!D3</f>
        <v>0</v>
      </c>
      <c r="K3" s="13">
        <f>+'1'!E3</f>
        <v>0</v>
      </c>
      <c r="M3" s="30">
        <f>+'1'!D1</f>
        <v>46143</v>
      </c>
      <c r="N3" s="11" t="str">
        <f>+'1'!A23</f>
        <v/>
      </c>
      <c r="O3" s="11">
        <f>+'1'!B23</f>
        <v>0</v>
      </c>
      <c r="P3" s="11">
        <f>+'1'!C23</f>
        <v>0</v>
      </c>
      <c r="Q3" s="11">
        <f>+'1'!D23</f>
        <v>0</v>
      </c>
      <c r="R3" s="13">
        <f>+'1'!E23</f>
        <v>0</v>
      </c>
      <c r="T3" s="55">
        <f>+'1'!D1</f>
        <v>46143</v>
      </c>
      <c r="U3" s="56" t="str">
        <f>+'1'!A36</f>
        <v/>
      </c>
      <c r="V3" s="56">
        <f>+'1'!B36</f>
        <v>0</v>
      </c>
      <c r="W3" s="56">
        <f>+'1'!C36</f>
        <v>0</v>
      </c>
      <c r="X3" s="56">
        <f>+'1'!D36</f>
        <v>0</v>
      </c>
      <c r="Y3" s="61">
        <f>+'1'!E36</f>
        <v>0</v>
      </c>
      <c r="AA3" s="55">
        <f>+'1'!D1</f>
        <v>46143</v>
      </c>
      <c r="AB3" s="56">
        <f>+'1'!D57</f>
        <v>0</v>
      </c>
      <c r="AC3" s="62">
        <f>+'1'!E57</f>
        <v>0</v>
      </c>
    </row>
    <row r="4" spans="2:29">
      <c r="B4" s="27" t="s">
        <v>85</v>
      </c>
      <c r="C4" s="28">
        <f t="shared" ref="C4:C43" si="0">SUMIF(I:I,B4,K:K)+SUMIF(P:P,B4,R:R)+SUMIF(W:W,B4,Y:Y)</f>
        <v>0</v>
      </c>
      <c r="D4" s="29" t="str">
        <f>IF(ISERROR(C4/TOTAL!$C$3),"0%",C4/TOTAL!$C$3)</f>
        <v>0%</v>
      </c>
      <c r="E4" s="17"/>
      <c r="F4" s="30">
        <f>+'1'!D1</f>
        <v>46143</v>
      </c>
      <c r="G4" s="11" t="str">
        <f>+'1'!A4</f>
        <v/>
      </c>
      <c r="H4" s="11">
        <f>+'1'!B4</f>
        <v>0</v>
      </c>
      <c r="I4" s="11">
        <f>+'1'!C4</f>
        <v>0</v>
      </c>
      <c r="J4" s="11">
        <f>+'1'!D4</f>
        <v>0</v>
      </c>
      <c r="K4" s="13">
        <f>+'1'!E4</f>
        <v>0</v>
      </c>
      <c r="M4" s="30">
        <f>+'1'!D1</f>
        <v>46143</v>
      </c>
      <c r="N4" s="11" t="str">
        <f>+'1'!A24</f>
        <v/>
      </c>
      <c r="O4" s="11">
        <f>+'1'!B24</f>
        <v>0</v>
      </c>
      <c r="P4" s="11">
        <f>+'1'!C24</f>
        <v>0</v>
      </c>
      <c r="Q4" s="11">
        <f>+'1'!D24</f>
        <v>0</v>
      </c>
      <c r="R4" s="13">
        <f>+'1'!E24</f>
        <v>0</v>
      </c>
      <c r="T4" s="30">
        <f>+'1'!D1</f>
        <v>46143</v>
      </c>
      <c r="U4" s="56" t="str">
        <f>+'1'!A37</f>
        <v/>
      </c>
      <c r="V4" s="56">
        <f>+'1'!B37</f>
        <v>0</v>
      </c>
      <c r="W4" s="56">
        <f>+'1'!C37</f>
        <v>0</v>
      </c>
      <c r="X4" s="56">
        <f>+'1'!D37</f>
        <v>0</v>
      </c>
      <c r="Y4" s="61">
        <f>+'1'!E37</f>
        <v>0</v>
      </c>
      <c r="AA4" s="30">
        <f>+'1'!D1</f>
        <v>46143</v>
      </c>
      <c r="AB4" s="56">
        <f>+'1'!D58</f>
        <v>0</v>
      </c>
      <c r="AC4" s="62">
        <f>+'1'!E58</f>
        <v>0</v>
      </c>
    </row>
    <row r="5" spans="2:29">
      <c r="B5" s="27" t="s">
        <v>86</v>
      </c>
      <c r="C5" s="28">
        <f t="shared" si="0"/>
        <v>0</v>
      </c>
      <c r="D5" s="29" t="str">
        <f>IF(ISERROR(C5/TOTAL!$C$3),"0%",C5/TOTAL!$C$3)</f>
        <v>0%</v>
      </c>
      <c r="E5" s="17"/>
      <c r="F5" s="30">
        <f>+'1'!D1</f>
        <v>46143</v>
      </c>
      <c r="G5" s="11" t="str">
        <f>+'1'!A5</f>
        <v/>
      </c>
      <c r="H5" s="11">
        <f>+'1'!B5</f>
        <v>0</v>
      </c>
      <c r="I5" s="11">
        <f>+'1'!C5</f>
        <v>0</v>
      </c>
      <c r="J5" s="11">
        <f>+'1'!D5</f>
        <v>0</v>
      </c>
      <c r="K5" s="13">
        <f>+'1'!E5</f>
        <v>0</v>
      </c>
      <c r="M5" s="30">
        <f>+'1'!D1</f>
        <v>46143</v>
      </c>
      <c r="N5" s="11" t="str">
        <f>+'1'!A25</f>
        <v/>
      </c>
      <c r="O5" s="11">
        <f>+'1'!B25</f>
        <v>0</v>
      </c>
      <c r="P5" s="11">
        <f>+'1'!C25</f>
        <v>0</v>
      </c>
      <c r="Q5" s="11">
        <f>+'1'!D25</f>
        <v>0</v>
      </c>
      <c r="R5" s="13">
        <f>+'1'!E25</f>
        <v>0</v>
      </c>
      <c r="T5" s="30">
        <f>+'1'!D1</f>
        <v>46143</v>
      </c>
      <c r="U5" s="56" t="str">
        <f>+'1'!A38</f>
        <v/>
      </c>
      <c r="V5" s="56">
        <f>+'1'!B38</f>
        <v>0</v>
      </c>
      <c r="W5" s="56">
        <f>+'1'!C38</f>
        <v>0</v>
      </c>
      <c r="X5" s="56">
        <f>+'1'!D38</f>
        <v>0</v>
      </c>
      <c r="Y5" s="61">
        <f>+'1'!E38</f>
        <v>0</v>
      </c>
      <c r="AA5" s="30">
        <f>+'1'!D1</f>
        <v>46143</v>
      </c>
      <c r="AB5" s="56">
        <f>+'1'!D59</f>
        <v>0</v>
      </c>
      <c r="AC5" s="62">
        <f>+'1'!E59</f>
        <v>0</v>
      </c>
    </row>
    <row r="6" spans="2:29">
      <c r="B6" s="27" t="s">
        <v>87</v>
      </c>
      <c r="C6" s="28">
        <f t="shared" si="0"/>
        <v>0</v>
      </c>
      <c r="D6" s="29" t="str">
        <f>IF(ISERROR(C6/TOTAL!$C$3),"0%",C6/TOTAL!$C$3)</f>
        <v>0%</v>
      </c>
      <c r="E6" s="17"/>
      <c r="F6" s="30">
        <f>+'1'!D1</f>
        <v>46143</v>
      </c>
      <c r="G6" s="11" t="str">
        <f>+'1'!A6</f>
        <v/>
      </c>
      <c r="H6" s="11">
        <f>+'1'!B6</f>
        <v>0</v>
      </c>
      <c r="I6" s="11">
        <f>+'1'!C6</f>
        <v>0</v>
      </c>
      <c r="J6" s="11">
        <f>+'1'!D6</f>
        <v>0</v>
      </c>
      <c r="K6" s="13">
        <f>+'1'!E6</f>
        <v>0</v>
      </c>
      <c r="M6" s="30">
        <f>+'1'!D1</f>
        <v>46143</v>
      </c>
      <c r="N6" s="11" t="str">
        <f>+'1'!A26</f>
        <v/>
      </c>
      <c r="O6" s="11">
        <f>+'1'!B26</f>
        <v>0</v>
      </c>
      <c r="P6" s="11">
        <f>+'1'!C26</f>
        <v>0</v>
      </c>
      <c r="Q6" s="11">
        <f>+'1'!D26</f>
        <v>0</v>
      </c>
      <c r="R6" s="13">
        <f>+'1'!E26</f>
        <v>0</v>
      </c>
      <c r="T6" s="30">
        <f>+'1'!D1</f>
        <v>46143</v>
      </c>
      <c r="U6" s="56" t="str">
        <f>+'1'!A39</f>
        <v/>
      </c>
      <c r="V6" s="56">
        <f>+'1'!B39</f>
        <v>0</v>
      </c>
      <c r="W6" s="56">
        <f>+'1'!C39</f>
        <v>0</v>
      </c>
      <c r="X6" s="56">
        <f>+'1'!D39</f>
        <v>0</v>
      </c>
      <c r="Y6" s="61">
        <f>+'1'!E39</f>
        <v>0</v>
      </c>
      <c r="AA6" s="30">
        <f>+'2'!D1</f>
        <v>46144</v>
      </c>
      <c r="AB6" s="56">
        <f>+'2'!D57</f>
        <v>0</v>
      </c>
      <c r="AC6" s="62">
        <f>+'2'!E57</f>
        <v>0</v>
      </c>
    </row>
    <row r="7" spans="2:29">
      <c r="B7" s="27" t="s">
        <v>88</v>
      </c>
      <c r="C7" s="28">
        <f t="shared" si="0"/>
        <v>0</v>
      </c>
      <c r="D7" s="29" t="str">
        <f>IF(ISERROR(C7/TOTAL!$C$3),"0%",C7/TOTAL!$C$3)</f>
        <v>0%</v>
      </c>
      <c r="E7" s="17"/>
      <c r="F7" s="30">
        <f>+'1'!D1</f>
        <v>46143</v>
      </c>
      <c r="G7" s="11" t="str">
        <f>+'1'!A7</f>
        <v/>
      </c>
      <c r="H7" s="11">
        <f>+'1'!B7</f>
        <v>0</v>
      </c>
      <c r="I7" s="11">
        <f>+'1'!C7</f>
        <v>0</v>
      </c>
      <c r="J7" s="11">
        <f>+'1'!D7</f>
        <v>0</v>
      </c>
      <c r="K7" s="13">
        <f>+'1'!E7</f>
        <v>0</v>
      </c>
      <c r="M7" s="30">
        <f>+'1'!D1</f>
        <v>46143</v>
      </c>
      <c r="N7" s="11" t="str">
        <f>+'1'!A27</f>
        <v/>
      </c>
      <c r="O7" s="11">
        <f>+'1'!B27</f>
        <v>0</v>
      </c>
      <c r="P7" s="11">
        <f>+'1'!C27</f>
        <v>0</v>
      </c>
      <c r="Q7" s="11">
        <f>+'1'!D27</f>
        <v>0</v>
      </c>
      <c r="R7" s="13">
        <f>+'1'!E27</f>
        <v>0</v>
      </c>
      <c r="T7" s="30">
        <f>+'1'!D1</f>
        <v>46143</v>
      </c>
      <c r="U7" s="56" t="str">
        <f>+'1'!A40</f>
        <v/>
      </c>
      <c r="V7" s="56">
        <f>+'1'!B40</f>
        <v>0</v>
      </c>
      <c r="W7" s="56">
        <f>+'1'!C40</f>
        <v>0</v>
      </c>
      <c r="X7" s="56">
        <f>+'1'!D40</f>
        <v>0</v>
      </c>
      <c r="Y7" s="61">
        <f>+'1'!E40</f>
        <v>0</v>
      </c>
      <c r="AA7" s="30">
        <f>+'2'!D1</f>
        <v>46144</v>
      </c>
      <c r="AB7" s="56">
        <f>+'2'!D58</f>
        <v>0</v>
      </c>
      <c r="AC7" s="62">
        <f>+'2'!E58</f>
        <v>0</v>
      </c>
    </row>
    <row r="8" spans="2:29">
      <c r="B8" s="27" t="s">
        <v>89</v>
      </c>
      <c r="C8" s="28">
        <f t="shared" si="0"/>
        <v>0</v>
      </c>
      <c r="D8" s="29" t="str">
        <f>IF(ISERROR(C8/TOTAL!$C$3),"0%",C8/TOTAL!$C$3)</f>
        <v>0%</v>
      </c>
      <c r="E8" s="17"/>
      <c r="F8" s="30">
        <f>+'1'!D1</f>
        <v>46143</v>
      </c>
      <c r="G8" s="11" t="str">
        <f>+'1'!A8</f>
        <v/>
      </c>
      <c r="H8" s="11">
        <f>+'1'!B8</f>
        <v>0</v>
      </c>
      <c r="I8" s="11">
        <f>+'1'!C8</f>
        <v>0</v>
      </c>
      <c r="J8" s="11">
        <f>+'1'!D8</f>
        <v>0</v>
      </c>
      <c r="K8" s="13">
        <f>+'1'!E8</f>
        <v>0</v>
      </c>
      <c r="M8" s="30">
        <f>+'1'!D1</f>
        <v>46143</v>
      </c>
      <c r="N8" s="11" t="str">
        <f>+'1'!A28</f>
        <v/>
      </c>
      <c r="O8" s="11">
        <f>+'1'!B28</f>
        <v>0</v>
      </c>
      <c r="P8" s="11">
        <f>+'1'!C28</f>
        <v>0</v>
      </c>
      <c r="Q8" s="11">
        <f>+'1'!D28</f>
        <v>0</v>
      </c>
      <c r="R8" s="13">
        <f>+'1'!E28</f>
        <v>0</v>
      </c>
      <c r="T8" s="30">
        <f>+'1'!D1</f>
        <v>46143</v>
      </c>
      <c r="U8" s="56" t="str">
        <f>+'1'!A41</f>
        <v/>
      </c>
      <c r="V8" s="56">
        <f>+'1'!B41</f>
        <v>0</v>
      </c>
      <c r="W8" s="56">
        <f>+'1'!C41</f>
        <v>0</v>
      </c>
      <c r="X8" s="56">
        <f>+'1'!D41</f>
        <v>0</v>
      </c>
      <c r="Y8" s="61">
        <f>+'1'!E41</f>
        <v>0</v>
      </c>
      <c r="AA8" s="30">
        <f>+'2'!D1</f>
        <v>46144</v>
      </c>
      <c r="AB8" s="56">
        <f>+'2'!D59</f>
        <v>0</v>
      </c>
      <c r="AC8" s="62">
        <f>+'2'!E59</f>
        <v>0</v>
      </c>
    </row>
    <row r="9" spans="2:29">
      <c r="B9" s="27" t="s">
        <v>90</v>
      </c>
      <c r="C9" s="28">
        <f t="shared" si="0"/>
        <v>0</v>
      </c>
      <c r="D9" s="29" t="str">
        <f>IF(ISERROR(C9/TOTAL!$C$3),"0%",C9/TOTAL!$C$3)</f>
        <v>0%</v>
      </c>
      <c r="E9" s="17"/>
      <c r="F9" s="30">
        <f>+'1'!D1</f>
        <v>46143</v>
      </c>
      <c r="G9" s="11" t="str">
        <f>+'1'!A9</f>
        <v/>
      </c>
      <c r="H9" s="11">
        <f>+'1'!B9</f>
        <v>0</v>
      </c>
      <c r="I9" s="11">
        <f>+'1'!C9</f>
        <v>0</v>
      </c>
      <c r="J9" s="11" t="str">
        <f>+'1'!D9</f>
        <v> </v>
      </c>
      <c r="K9" s="13">
        <f>+'1'!E9</f>
        <v>0</v>
      </c>
      <c r="M9" s="30">
        <f>+'1'!D1</f>
        <v>46143</v>
      </c>
      <c r="N9" s="11" t="str">
        <f>+'1'!A29</f>
        <v/>
      </c>
      <c r="O9" s="11">
        <f>+'1'!B29</f>
        <v>0</v>
      </c>
      <c r="P9" s="11">
        <f>+'1'!C29</f>
        <v>0</v>
      </c>
      <c r="Q9" s="11">
        <f>+'1'!D29</f>
        <v>0</v>
      </c>
      <c r="R9" s="13">
        <f>+'1'!E29</f>
        <v>0</v>
      </c>
      <c r="T9" s="30">
        <f>+'1'!D1</f>
        <v>46143</v>
      </c>
      <c r="U9" s="56" t="str">
        <f>+'1'!A42</f>
        <v/>
      </c>
      <c r="V9" s="56">
        <f>+'1'!B42</f>
        <v>0</v>
      </c>
      <c r="W9" s="56">
        <f>+'1'!C42</f>
        <v>0</v>
      </c>
      <c r="X9" s="56">
        <f>+'1'!D42</f>
        <v>0</v>
      </c>
      <c r="Y9" s="61">
        <f>+'1'!E42</f>
        <v>0</v>
      </c>
      <c r="AA9" s="30">
        <f>+'3'!D1</f>
        <v>46145</v>
      </c>
      <c r="AB9" s="56">
        <f>+'3'!D57</f>
        <v>0</v>
      </c>
      <c r="AC9" s="62">
        <f>+'3'!E57</f>
        <v>0</v>
      </c>
    </row>
    <row r="10" spans="2:29">
      <c r="B10" s="27" t="s">
        <v>91</v>
      </c>
      <c r="C10" s="28">
        <f t="shared" si="0"/>
        <v>0</v>
      </c>
      <c r="D10" s="29" t="str">
        <f>IF(ISERROR(C10/TOTAL!$C$3),"0%",C10/TOTAL!$C$3)</f>
        <v>0%</v>
      </c>
      <c r="E10" s="17"/>
      <c r="F10" s="30">
        <f>+'1'!D1</f>
        <v>46143</v>
      </c>
      <c r="G10" s="11" t="str">
        <f>+'1'!A10</f>
        <v/>
      </c>
      <c r="H10" s="11">
        <f>+'1'!B10</f>
        <v>0</v>
      </c>
      <c r="I10" s="11">
        <f>+'1'!C10</f>
        <v>0</v>
      </c>
      <c r="J10" s="11">
        <f>+'1'!D10</f>
        <v>0</v>
      </c>
      <c r="K10" s="13">
        <f>+'1'!E10</f>
        <v>0</v>
      </c>
      <c r="M10" s="30">
        <f>+'1'!D1</f>
        <v>46143</v>
      </c>
      <c r="N10" s="11" t="str">
        <f>+'1'!A30</f>
        <v/>
      </c>
      <c r="O10" s="11">
        <f>+'1'!B30</f>
        <v>0</v>
      </c>
      <c r="P10" s="11">
        <f>+'1'!C30</f>
        <v>0</v>
      </c>
      <c r="Q10" s="11">
        <f>+'1'!D30</f>
        <v>0</v>
      </c>
      <c r="R10" s="13">
        <f>+'1'!E30</f>
        <v>0</v>
      </c>
      <c r="T10" s="30">
        <f>+'1'!D1</f>
        <v>46143</v>
      </c>
      <c r="U10" s="56" t="str">
        <f>+'1'!A43</f>
        <v/>
      </c>
      <c r="V10" s="56">
        <f>+'1'!B43</f>
        <v>0</v>
      </c>
      <c r="W10" s="56">
        <f>+'1'!C43</f>
        <v>0</v>
      </c>
      <c r="X10" s="56">
        <f>+'1'!D43</f>
        <v>0</v>
      </c>
      <c r="Y10" s="61">
        <f>+'1'!E43</f>
        <v>0</v>
      </c>
      <c r="AA10" s="30">
        <f>+'3'!D1</f>
        <v>46145</v>
      </c>
      <c r="AB10" s="56">
        <f>+'3'!D58</f>
        <v>0</v>
      </c>
      <c r="AC10" s="62">
        <f>+'3'!E58</f>
        <v>0</v>
      </c>
    </row>
    <row r="11" spans="2:29">
      <c r="B11" s="27" t="s">
        <v>92</v>
      </c>
      <c r="C11" s="28">
        <f t="shared" si="0"/>
        <v>0</v>
      </c>
      <c r="D11" s="29" t="str">
        <f>IF(ISERROR(C11/TOTAL!$C$3),"0%",C11/TOTAL!$C$3)</f>
        <v>0%</v>
      </c>
      <c r="E11" s="17"/>
      <c r="F11" s="30">
        <f>+'1'!D1</f>
        <v>46143</v>
      </c>
      <c r="G11" s="11" t="str">
        <f>+'1'!A11</f>
        <v/>
      </c>
      <c r="H11" s="11">
        <f>+'1'!B11</f>
        <v>0</v>
      </c>
      <c r="I11" s="11">
        <f>+'1'!C11</f>
        <v>0</v>
      </c>
      <c r="J11" s="11">
        <f>+'1'!D11</f>
        <v>0</v>
      </c>
      <c r="K11" s="13">
        <f>+'1'!E11</f>
        <v>0</v>
      </c>
      <c r="M11" s="30">
        <f>+'1'!D1</f>
        <v>46143</v>
      </c>
      <c r="N11" s="11" t="str">
        <f>+'1'!A31</f>
        <v/>
      </c>
      <c r="O11" s="11">
        <f>+'1'!B31</f>
        <v>0</v>
      </c>
      <c r="P11" s="11">
        <f>+'1'!C31</f>
        <v>0</v>
      </c>
      <c r="Q11" s="11">
        <f>+'1'!D31</f>
        <v>0</v>
      </c>
      <c r="R11" s="13">
        <f>+'1'!E31</f>
        <v>0</v>
      </c>
      <c r="T11" s="30">
        <f>+'1'!D1</f>
        <v>46143</v>
      </c>
      <c r="U11" s="56" t="str">
        <f>+'1'!A44</f>
        <v/>
      </c>
      <c r="V11" s="56">
        <f>+'1'!B44</f>
        <v>0</v>
      </c>
      <c r="W11" s="56">
        <f>+'1'!C44</f>
        <v>0</v>
      </c>
      <c r="X11" s="56">
        <f>+'1'!D44</f>
        <v>0</v>
      </c>
      <c r="Y11" s="61">
        <f>+'1'!E44</f>
        <v>0</v>
      </c>
      <c r="AA11" s="30">
        <f>+'3'!D1</f>
        <v>46145</v>
      </c>
      <c r="AB11" s="56">
        <f>+'3'!D59</f>
        <v>0</v>
      </c>
      <c r="AC11" s="62">
        <f>+'3'!E59</f>
        <v>0</v>
      </c>
    </row>
    <row r="12" spans="2:29">
      <c r="B12" s="27" t="s">
        <v>93</v>
      </c>
      <c r="C12" s="28">
        <f t="shared" si="0"/>
        <v>0</v>
      </c>
      <c r="D12" s="29" t="str">
        <f>IF(ISERROR(C12/TOTAL!$C$3),"0%",C12/TOTAL!$C$3)</f>
        <v>0%</v>
      </c>
      <c r="E12" s="17"/>
      <c r="F12" s="30">
        <f>+'1'!D1</f>
        <v>46143</v>
      </c>
      <c r="G12" s="11" t="str">
        <f>+'1'!A12</f>
        <v/>
      </c>
      <c r="H12" s="11">
        <f>+'1'!B12</f>
        <v>0</v>
      </c>
      <c r="I12" s="11">
        <f>+'1'!C12</f>
        <v>0</v>
      </c>
      <c r="J12" s="11">
        <f>+'1'!D12</f>
        <v>0</v>
      </c>
      <c r="K12" s="13">
        <f>+'1'!E12</f>
        <v>0</v>
      </c>
      <c r="M12" s="30">
        <f>+'1'!D1</f>
        <v>46143</v>
      </c>
      <c r="N12" s="11" t="str">
        <f>+'1'!A32</f>
        <v/>
      </c>
      <c r="O12" s="11">
        <f>+'1'!B32</f>
        <v>0</v>
      </c>
      <c r="P12" s="11">
        <f>+'1'!C32</f>
        <v>0</v>
      </c>
      <c r="Q12" s="11">
        <f>+'1'!D32</f>
        <v>0</v>
      </c>
      <c r="R12" s="13">
        <f>+'1'!E32</f>
        <v>0</v>
      </c>
      <c r="T12" s="30">
        <f>+'1'!D1</f>
        <v>46143</v>
      </c>
      <c r="U12" s="56" t="str">
        <f>+'1'!A45</f>
        <v/>
      </c>
      <c r="V12" s="56">
        <f>+'1'!B45</f>
        <v>0</v>
      </c>
      <c r="W12" s="56">
        <f>+'1'!C45</f>
        <v>0</v>
      </c>
      <c r="X12" s="56">
        <f>+'1'!D45</f>
        <v>0</v>
      </c>
      <c r="Y12" s="61">
        <f>+'1'!E45</f>
        <v>0</v>
      </c>
      <c r="AA12" s="30">
        <f>+'4'!D1</f>
        <v>46146</v>
      </c>
      <c r="AB12" s="56">
        <f>+'4'!D57</f>
        <v>0</v>
      </c>
      <c r="AC12" s="62">
        <f>+'4'!E57</f>
        <v>0</v>
      </c>
    </row>
    <row r="13" spans="2:29">
      <c r="B13" s="27" t="s">
        <v>94</v>
      </c>
      <c r="C13" s="28">
        <f t="shared" si="0"/>
        <v>0</v>
      </c>
      <c r="D13" s="29" t="str">
        <f>IF(ISERROR(C13/TOTAL!$C$3),"0%",C13/TOTAL!$C$3)</f>
        <v>0%</v>
      </c>
      <c r="E13" s="17"/>
      <c r="F13" s="10">
        <f>+'2'!D1</f>
        <v>46144</v>
      </c>
      <c r="G13" s="11" t="str">
        <f>+'2'!A3</f>
        <v/>
      </c>
      <c r="H13" s="11">
        <f>+'2'!B3</f>
        <v>0</v>
      </c>
      <c r="I13" s="11">
        <f>+'2'!C3</f>
        <v>0</v>
      </c>
      <c r="J13" s="11">
        <f>+'2'!D3</f>
        <v>0</v>
      </c>
      <c r="K13" s="13">
        <f>+'2'!E3</f>
        <v>0</v>
      </c>
      <c r="M13" s="10">
        <f>+'1'!D1</f>
        <v>46143</v>
      </c>
      <c r="N13" s="11" t="str">
        <f>+'1'!A33</f>
        <v/>
      </c>
      <c r="O13" s="11">
        <f>+'1'!B33</f>
        <v>0</v>
      </c>
      <c r="P13" s="11">
        <f>+'1'!C33</f>
        <v>0</v>
      </c>
      <c r="Q13" s="11">
        <f>+'1'!D33</f>
        <v>0</v>
      </c>
      <c r="R13" s="13">
        <f>+'1'!E33</f>
        <v>0</v>
      </c>
      <c r="T13" s="10">
        <f>+'1'!D1</f>
        <v>46143</v>
      </c>
      <c r="U13" s="56" t="str">
        <f>+'1'!A46</f>
        <v/>
      </c>
      <c r="V13" s="56">
        <f>+'1'!B46</f>
        <v>0</v>
      </c>
      <c r="W13" s="56">
        <f>+'1'!C46</f>
        <v>0</v>
      </c>
      <c r="X13" s="56">
        <f>+'1'!D46</f>
        <v>0</v>
      </c>
      <c r="Y13" s="61">
        <f>+'1'!E46</f>
        <v>0</v>
      </c>
      <c r="AA13" s="10">
        <f>+'4'!D1</f>
        <v>46146</v>
      </c>
      <c r="AB13" s="56">
        <f>+'4'!D58</f>
        <v>0</v>
      </c>
      <c r="AC13" s="62">
        <f>+'4'!E58</f>
        <v>0</v>
      </c>
    </row>
    <row r="14" spans="2:29">
      <c r="B14" s="27" t="s">
        <v>95</v>
      </c>
      <c r="C14" s="28">
        <f t="shared" si="0"/>
        <v>0</v>
      </c>
      <c r="D14" s="29" t="str">
        <f>IF(ISERROR(C14/TOTAL!$C$3),"0%",C14/TOTAL!$C$3)</f>
        <v>0%</v>
      </c>
      <c r="E14" s="17"/>
      <c r="F14" s="10">
        <f>+'2'!D1</f>
        <v>46144</v>
      </c>
      <c r="G14" s="11" t="str">
        <f>+'2'!A4</f>
        <v/>
      </c>
      <c r="H14" s="11">
        <f>+'2'!B4</f>
        <v>0</v>
      </c>
      <c r="I14" s="11">
        <f>+'2'!C4</f>
        <v>0</v>
      </c>
      <c r="J14" s="11">
        <f>+'2'!D4</f>
        <v>0</v>
      </c>
      <c r="K14" s="13">
        <f>+'2'!E4</f>
        <v>0</v>
      </c>
      <c r="M14" s="10">
        <f>+'1'!D1</f>
        <v>46143</v>
      </c>
      <c r="N14" s="11" t="str">
        <f>+'1'!A34</f>
        <v/>
      </c>
      <c r="O14" s="11">
        <f>+'1'!B34</f>
        <v>0</v>
      </c>
      <c r="P14" s="11">
        <f>+'1'!C34</f>
        <v>0</v>
      </c>
      <c r="Q14" s="11">
        <f>+'1'!D34</f>
        <v>0</v>
      </c>
      <c r="R14" s="13">
        <f>+'1'!E34</f>
        <v>0</v>
      </c>
      <c r="T14" s="10">
        <f>+'1'!D1</f>
        <v>46143</v>
      </c>
      <c r="U14" s="56" t="str">
        <f>+'1'!A47</f>
        <v/>
      </c>
      <c r="V14" s="56">
        <f>+'1'!B47</f>
        <v>0</v>
      </c>
      <c r="W14" s="56">
        <f>+'1'!C47</f>
        <v>0</v>
      </c>
      <c r="X14" s="56">
        <f>+'1'!D47</f>
        <v>0</v>
      </c>
      <c r="Y14" s="61">
        <f>+'1'!E47</f>
        <v>0</v>
      </c>
      <c r="AA14" s="10">
        <f>+'4'!D1</f>
        <v>46146</v>
      </c>
      <c r="AB14" s="56">
        <f>+'4'!D59</f>
        <v>0</v>
      </c>
      <c r="AC14" s="62">
        <f>+'4'!E59</f>
        <v>0</v>
      </c>
    </row>
    <row r="15" spans="2:29">
      <c r="B15" s="27" t="s">
        <v>96</v>
      </c>
      <c r="C15" s="28">
        <f t="shared" si="0"/>
        <v>0</v>
      </c>
      <c r="D15" s="29" t="str">
        <f>IF(ISERROR(C15/TOTAL!$C$3),"0%",C15/TOTAL!$C$3)</f>
        <v>0%</v>
      </c>
      <c r="E15" s="17"/>
      <c r="F15" s="10">
        <f>+'2'!D1</f>
        <v>46144</v>
      </c>
      <c r="G15" s="11" t="str">
        <f>+'2'!A5</f>
        <v/>
      </c>
      <c r="H15" s="11">
        <f>+'2'!B5</f>
        <v>0</v>
      </c>
      <c r="I15" s="11">
        <f>+'2'!C5</f>
        <v>0</v>
      </c>
      <c r="J15" s="11">
        <f>+'2'!D5</f>
        <v>0</v>
      </c>
      <c r="K15" s="13">
        <f>+'2'!E5</f>
        <v>0</v>
      </c>
      <c r="M15" s="10">
        <f>+'2'!D1</f>
        <v>46144</v>
      </c>
      <c r="N15" s="11" t="str">
        <f>+'2'!A23</f>
        <v/>
      </c>
      <c r="O15" s="11">
        <f>+'2'!B23</f>
        <v>0</v>
      </c>
      <c r="P15" s="11">
        <f>+'2'!C23</f>
        <v>0</v>
      </c>
      <c r="Q15" s="11">
        <f>+'2'!D23</f>
        <v>0</v>
      </c>
      <c r="R15" s="13">
        <f>+'2'!E23</f>
        <v>0</v>
      </c>
      <c r="T15" s="10">
        <f>+'1'!D1</f>
        <v>46143</v>
      </c>
      <c r="U15" s="56" t="str">
        <f>+'1'!A48</f>
        <v/>
      </c>
      <c r="V15" s="56">
        <f>+'1'!B48</f>
        <v>0</v>
      </c>
      <c r="W15" s="56">
        <f>+'1'!C48</f>
        <v>0</v>
      </c>
      <c r="X15" s="56">
        <f>+'1'!D48</f>
        <v>0</v>
      </c>
      <c r="Y15" s="61">
        <f>+'1'!E48</f>
        <v>0</v>
      </c>
      <c r="AA15" s="10">
        <f>+'5'!D1</f>
        <v>46147</v>
      </c>
      <c r="AB15" s="56">
        <f>+'5'!D57</f>
        <v>0</v>
      </c>
      <c r="AC15" s="62">
        <f>+'5'!E57</f>
        <v>0</v>
      </c>
    </row>
    <row r="16" spans="2:29">
      <c r="B16" s="27" t="s">
        <v>97</v>
      </c>
      <c r="C16" s="28">
        <f t="shared" si="0"/>
        <v>0</v>
      </c>
      <c r="D16" s="29" t="str">
        <f>IF(ISERROR(C16/TOTAL!$C$3),"0%",C16/TOTAL!$C$3)</f>
        <v>0%</v>
      </c>
      <c r="E16" s="17"/>
      <c r="F16" s="10">
        <f>+'2'!D1</f>
        <v>46144</v>
      </c>
      <c r="G16" s="11" t="str">
        <f>+'2'!A6</f>
        <v/>
      </c>
      <c r="H16" s="11">
        <f>+'2'!B6</f>
        <v>0</v>
      </c>
      <c r="I16" s="11">
        <f>+'2'!C6</f>
        <v>0</v>
      </c>
      <c r="J16" s="11">
        <f>+'2'!D6</f>
        <v>0</v>
      </c>
      <c r="K16" s="13">
        <f>+'2'!E6</f>
        <v>0</v>
      </c>
      <c r="M16" s="10">
        <f>+'2'!D1</f>
        <v>46144</v>
      </c>
      <c r="N16" s="11" t="str">
        <f>+'2'!A24</f>
        <v/>
      </c>
      <c r="O16" s="11">
        <f>+'2'!B24</f>
        <v>0</v>
      </c>
      <c r="P16" s="11">
        <f>+'2'!C24</f>
        <v>0</v>
      </c>
      <c r="Q16" s="11">
        <f>+'2'!D24</f>
        <v>0</v>
      </c>
      <c r="R16" s="13">
        <f>+'2'!E24</f>
        <v>0</v>
      </c>
      <c r="T16" s="10">
        <f>+'1'!D1</f>
        <v>46143</v>
      </c>
      <c r="U16" s="56" t="str">
        <f>+'1'!A49</f>
        <v/>
      </c>
      <c r="V16" s="56">
        <f>+'1'!B49</f>
        <v>0</v>
      </c>
      <c r="W16" s="56">
        <f>+'1'!C49</f>
        <v>0</v>
      </c>
      <c r="X16" s="56">
        <f>+'1'!D49</f>
        <v>0</v>
      </c>
      <c r="Y16" s="61">
        <f>+'1'!E49</f>
        <v>0</v>
      </c>
      <c r="AA16" s="10">
        <f>+'5'!D1</f>
        <v>46147</v>
      </c>
      <c r="AB16" s="56">
        <f>+'5'!D58</f>
        <v>0</v>
      </c>
      <c r="AC16" s="62">
        <f>+'5'!E58</f>
        <v>0</v>
      </c>
    </row>
    <row r="17" spans="2:29">
      <c r="B17" s="27" t="s">
        <v>98</v>
      </c>
      <c r="C17" s="28">
        <f t="shared" si="0"/>
        <v>0</v>
      </c>
      <c r="D17" s="29" t="str">
        <f>IF(ISERROR(C17/TOTAL!$C$3),"0%",C17/TOTAL!$C$3)</f>
        <v>0%</v>
      </c>
      <c r="E17" s="17"/>
      <c r="F17" s="10">
        <f>+'2'!D1</f>
        <v>46144</v>
      </c>
      <c r="G17" s="11" t="str">
        <f>+'2'!A7</f>
        <v/>
      </c>
      <c r="H17" s="11">
        <f>+'2'!B7</f>
        <v>0</v>
      </c>
      <c r="I17" s="11">
        <f>+'2'!C7</f>
        <v>0</v>
      </c>
      <c r="J17" s="11">
        <f>+'2'!D7</f>
        <v>0</v>
      </c>
      <c r="K17" s="13">
        <f>+'2'!E7</f>
        <v>0</v>
      </c>
      <c r="M17" s="10">
        <f>+'2'!D1</f>
        <v>46144</v>
      </c>
      <c r="N17" s="11" t="str">
        <f>+'2'!A25</f>
        <v/>
      </c>
      <c r="O17" s="11">
        <f>+'2'!B25</f>
        <v>0</v>
      </c>
      <c r="P17" s="11">
        <f>+'2'!C25</f>
        <v>0</v>
      </c>
      <c r="Q17" s="11">
        <f>+'2'!D25</f>
        <v>0</v>
      </c>
      <c r="R17" s="13">
        <f>+'2'!E25</f>
        <v>0</v>
      </c>
      <c r="T17" s="10">
        <f>+'1'!D1</f>
        <v>46143</v>
      </c>
      <c r="U17" s="56" t="str">
        <f>+'1'!A50</f>
        <v/>
      </c>
      <c r="V17" s="56">
        <f>+'1'!B50</f>
        <v>0</v>
      </c>
      <c r="W17" s="56">
        <f>+'1'!C50</f>
        <v>0</v>
      </c>
      <c r="X17" s="56">
        <f>+'1'!D50</f>
        <v>0</v>
      </c>
      <c r="Y17" s="61">
        <f>+'1'!E50</f>
        <v>0</v>
      </c>
      <c r="AA17" s="10">
        <f>+'5'!D1</f>
        <v>46147</v>
      </c>
      <c r="AB17" s="56">
        <f>+'5'!D59</f>
        <v>0</v>
      </c>
      <c r="AC17" s="62">
        <f>+'5'!E59</f>
        <v>0</v>
      </c>
    </row>
    <row r="18" spans="2:29">
      <c r="B18" s="27" t="s">
        <v>99</v>
      </c>
      <c r="C18" s="28">
        <f t="shared" si="0"/>
        <v>0</v>
      </c>
      <c r="D18" s="29" t="str">
        <f>IF(ISERROR(C18/TOTAL!$C$3),"0%",C18/TOTAL!$C$3)</f>
        <v>0%</v>
      </c>
      <c r="E18" s="17"/>
      <c r="F18" s="10">
        <f>+'2'!D1</f>
        <v>46144</v>
      </c>
      <c r="G18" s="11" t="str">
        <f>+'2'!A8</f>
        <v/>
      </c>
      <c r="H18" s="11">
        <f>+'2'!B8</f>
        <v>0</v>
      </c>
      <c r="I18" s="11">
        <f>+'2'!C8</f>
        <v>0</v>
      </c>
      <c r="J18" s="11">
        <f>+'2'!D8</f>
        <v>0</v>
      </c>
      <c r="K18" s="13">
        <f>+'2'!E8</f>
        <v>0</v>
      </c>
      <c r="M18" s="10">
        <f>+'2'!D1</f>
        <v>46144</v>
      </c>
      <c r="N18" s="11" t="str">
        <f>+'2'!A26</f>
        <v/>
      </c>
      <c r="O18" s="11">
        <f>+'2'!B26</f>
        <v>0</v>
      </c>
      <c r="P18" s="11">
        <f>+'2'!C26</f>
        <v>0</v>
      </c>
      <c r="Q18" s="11">
        <f>+'2'!D26</f>
        <v>0</v>
      </c>
      <c r="R18" s="13">
        <f>+'2'!E26</f>
        <v>0</v>
      </c>
      <c r="T18" s="10">
        <f>+'1'!D1</f>
        <v>46143</v>
      </c>
      <c r="U18" s="56" t="str">
        <f>+'1'!A51</f>
        <v/>
      </c>
      <c r="V18" s="56">
        <f>+'1'!B51</f>
        <v>0</v>
      </c>
      <c r="W18" s="56">
        <f>+'1'!C51</f>
        <v>0</v>
      </c>
      <c r="X18" s="56">
        <f>+'1'!D51</f>
        <v>0</v>
      </c>
      <c r="Y18" s="61">
        <f>+'1'!E51</f>
        <v>0</v>
      </c>
      <c r="AA18" s="10">
        <f>+'6'!D1</f>
        <v>46148</v>
      </c>
      <c r="AB18" s="56">
        <f>+'6'!D57</f>
        <v>0</v>
      </c>
      <c r="AC18" s="62">
        <f>+'6'!E57</f>
        <v>0</v>
      </c>
    </row>
    <row r="19" spans="2:29">
      <c r="B19" s="27" t="s">
        <v>100</v>
      </c>
      <c r="C19" s="28">
        <f t="shared" si="0"/>
        <v>0</v>
      </c>
      <c r="D19" s="29" t="str">
        <f>IF(ISERROR(C19/TOTAL!$C$3),"0%",C19/TOTAL!$C$3)</f>
        <v>0%</v>
      </c>
      <c r="E19" s="17"/>
      <c r="F19" s="10">
        <f>+'2'!D1</f>
        <v>46144</v>
      </c>
      <c r="G19" s="11" t="str">
        <f>+'2'!A9</f>
        <v/>
      </c>
      <c r="H19" s="11">
        <f>+'2'!B9</f>
        <v>0</v>
      </c>
      <c r="I19" s="11">
        <f>+'2'!C9</f>
        <v>0</v>
      </c>
      <c r="J19" s="11" t="str">
        <f>+'2'!D9</f>
        <v> </v>
      </c>
      <c r="K19" s="13">
        <f>+'2'!E9</f>
        <v>0</v>
      </c>
      <c r="M19" s="10">
        <f>+'2'!D1</f>
        <v>46144</v>
      </c>
      <c r="N19" s="11" t="str">
        <f>+'2'!A27</f>
        <v/>
      </c>
      <c r="O19" s="11">
        <f>+'2'!B27</f>
        <v>0</v>
      </c>
      <c r="P19" s="11">
        <f>+'2'!C27</f>
        <v>0</v>
      </c>
      <c r="Q19" s="11">
        <f>+'2'!D27</f>
        <v>0</v>
      </c>
      <c r="R19" s="13">
        <f>+'2'!E27</f>
        <v>0</v>
      </c>
      <c r="T19" s="10">
        <f>+'1'!D1</f>
        <v>46143</v>
      </c>
      <c r="U19" s="56" t="str">
        <f>+'1'!A52</f>
        <v/>
      </c>
      <c r="V19" s="56">
        <f>+'1'!B52</f>
        <v>0</v>
      </c>
      <c r="W19" s="56">
        <f>+'1'!C52</f>
        <v>0</v>
      </c>
      <c r="X19" s="56">
        <f>+'1'!D52</f>
        <v>0</v>
      </c>
      <c r="Y19" s="61">
        <f>+'1'!E52</f>
        <v>0</v>
      </c>
      <c r="AA19" s="10">
        <f>+'6'!D1</f>
        <v>46148</v>
      </c>
      <c r="AB19" s="56">
        <f>+'6'!D58</f>
        <v>0</v>
      </c>
      <c r="AC19" s="62">
        <f>+'6'!E58</f>
        <v>0</v>
      </c>
    </row>
    <row r="20" spans="2:29">
      <c r="B20" s="27" t="s">
        <v>101</v>
      </c>
      <c r="C20" s="28">
        <f t="shared" si="0"/>
        <v>0</v>
      </c>
      <c r="D20" s="29" t="str">
        <f>IF(ISERROR(C20/TOTAL!$C$3),"0%",C20/TOTAL!$C$3)</f>
        <v>0%</v>
      </c>
      <c r="E20" s="17"/>
      <c r="F20" s="10">
        <f>+'2'!D1</f>
        <v>46144</v>
      </c>
      <c r="G20" s="11" t="str">
        <f>+'2'!A10</f>
        <v/>
      </c>
      <c r="H20" s="11">
        <f>+'2'!B10</f>
        <v>0</v>
      </c>
      <c r="I20" s="11">
        <f>+'2'!C10</f>
        <v>0</v>
      </c>
      <c r="J20" s="11">
        <f>+'2'!D10</f>
        <v>0</v>
      </c>
      <c r="K20" s="13">
        <f>+'2'!E10</f>
        <v>0</v>
      </c>
      <c r="M20" s="10">
        <f>+'2'!D1</f>
        <v>46144</v>
      </c>
      <c r="N20" s="11" t="str">
        <f>+'2'!A28</f>
        <v/>
      </c>
      <c r="O20" s="11">
        <f>+'2'!B28</f>
        <v>0</v>
      </c>
      <c r="P20" s="11">
        <f>+'2'!C28</f>
        <v>0</v>
      </c>
      <c r="Q20" s="11">
        <f>+'2'!D28</f>
        <v>0</v>
      </c>
      <c r="R20" s="13">
        <f>+'2'!E28</f>
        <v>0</v>
      </c>
      <c r="T20" s="10">
        <f>+'1'!D1</f>
        <v>46143</v>
      </c>
      <c r="U20" s="56" t="str">
        <f>+'1'!A53</f>
        <v/>
      </c>
      <c r="V20" s="56">
        <f>+'1'!B53</f>
        <v>0</v>
      </c>
      <c r="W20" s="56">
        <f>+'1'!C53</f>
        <v>0</v>
      </c>
      <c r="X20" s="56">
        <f>+'1'!D53</f>
        <v>0</v>
      </c>
      <c r="Y20" s="61">
        <f>+'1'!E53</f>
        <v>0</v>
      </c>
      <c r="AA20" s="10">
        <f>+'6'!D1</f>
        <v>46148</v>
      </c>
      <c r="AB20" s="56">
        <f>+'6'!D59</f>
        <v>0</v>
      </c>
      <c r="AC20" s="62">
        <f>+'6'!E59</f>
        <v>0</v>
      </c>
    </row>
    <row r="21" spans="2:29">
      <c r="B21" s="27" t="s">
        <v>102</v>
      </c>
      <c r="C21" s="28">
        <f t="shared" si="0"/>
        <v>0</v>
      </c>
      <c r="D21" s="29" t="str">
        <f>IF(ISERROR(C21/TOTAL!$C$3),"0%",C21/TOTAL!$C$3)</f>
        <v>0%</v>
      </c>
      <c r="E21" s="17"/>
      <c r="F21" s="10">
        <f>+'2'!D1</f>
        <v>46144</v>
      </c>
      <c r="G21" s="11" t="str">
        <f>+'2'!A11</f>
        <v/>
      </c>
      <c r="H21" s="11">
        <f>+'2'!B11</f>
        <v>0</v>
      </c>
      <c r="I21" s="11">
        <f>+'2'!C11</f>
        <v>0</v>
      </c>
      <c r="J21" s="11">
        <f>+'2'!D11</f>
        <v>0</v>
      </c>
      <c r="K21" s="13">
        <f>+'2'!E11</f>
        <v>0</v>
      </c>
      <c r="M21" s="10">
        <f>+'2'!D1</f>
        <v>46144</v>
      </c>
      <c r="N21" s="11" t="str">
        <f>+'2'!A29</f>
        <v/>
      </c>
      <c r="O21" s="11">
        <f>+'2'!B29</f>
        <v>0</v>
      </c>
      <c r="P21" s="11">
        <f>+'2'!C29</f>
        <v>0</v>
      </c>
      <c r="Q21" s="11">
        <f>+'2'!D29</f>
        <v>0</v>
      </c>
      <c r="R21" s="13">
        <f>+'2'!E29</f>
        <v>0</v>
      </c>
      <c r="T21" s="10">
        <f>+'1'!D1</f>
        <v>46143</v>
      </c>
      <c r="U21" s="56" t="str">
        <f>+'1'!A54</f>
        <v/>
      </c>
      <c r="V21" s="56">
        <f>+'1'!B54</f>
        <v>0</v>
      </c>
      <c r="W21" s="56">
        <f>+'1'!C54</f>
        <v>0</v>
      </c>
      <c r="X21" s="56">
        <f>+'1'!D54</f>
        <v>0</v>
      </c>
      <c r="Y21" s="61">
        <f>+'1'!E54</f>
        <v>0</v>
      </c>
      <c r="AA21" s="10">
        <f>+'7'!D1</f>
        <v>46149</v>
      </c>
      <c r="AB21" s="56">
        <f>+'7'!D57</f>
        <v>0</v>
      </c>
      <c r="AC21" s="62">
        <f>+'7'!E57</f>
        <v>0</v>
      </c>
    </row>
    <row r="22" spans="2:29">
      <c r="B22" s="27" t="s">
        <v>103</v>
      </c>
      <c r="C22" s="28">
        <f t="shared" si="0"/>
        <v>0</v>
      </c>
      <c r="D22" s="29" t="str">
        <f>IF(ISERROR(C22/TOTAL!$C$3),"0%",C22/TOTAL!$C$3)</f>
        <v>0%</v>
      </c>
      <c r="E22" s="17"/>
      <c r="F22" s="10">
        <f>+'2'!D1</f>
        <v>46144</v>
      </c>
      <c r="G22" s="11" t="str">
        <f>+'2'!A12</f>
        <v/>
      </c>
      <c r="H22" s="11">
        <f>+'2'!B12</f>
        <v>0</v>
      </c>
      <c r="I22" s="11">
        <f>+'2'!C12</f>
        <v>0</v>
      </c>
      <c r="J22" s="11">
        <f>+'2'!D12</f>
        <v>0</v>
      </c>
      <c r="K22" s="13">
        <f>+'2'!E12</f>
        <v>0</v>
      </c>
      <c r="M22" s="10">
        <f>+'2'!D1</f>
        <v>46144</v>
      </c>
      <c r="N22" s="11" t="str">
        <f>+'2'!A30</f>
        <v/>
      </c>
      <c r="O22" s="11">
        <f>+'2'!B30</f>
        <v>0</v>
      </c>
      <c r="P22" s="11">
        <f>+'2'!C30</f>
        <v>0</v>
      </c>
      <c r="Q22" s="11">
        <f>+'2'!D30</f>
        <v>0</v>
      </c>
      <c r="R22" s="13">
        <f>+'2'!E30</f>
        <v>0</v>
      </c>
      <c r="T22" s="10">
        <f>+'1'!D1</f>
        <v>46143</v>
      </c>
      <c r="U22" s="56" t="str">
        <f>+'1'!A55</f>
        <v/>
      </c>
      <c r="V22" s="56">
        <f>+'1'!B55</f>
        <v>0</v>
      </c>
      <c r="W22" s="56">
        <f>+'1'!C55</f>
        <v>0</v>
      </c>
      <c r="X22" s="56">
        <f>+'1'!D55</f>
        <v>0</v>
      </c>
      <c r="Y22" s="61">
        <f>+'1'!E55</f>
        <v>0</v>
      </c>
      <c r="AA22" s="10">
        <f>+'7'!D1</f>
        <v>46149</v>
      </c>
      <c r="AB22" s="56">
        <f>+'7'!D58</f>
        <v>0</v>
      </c>
      <c r="AC22" s="62">
        <f>+'7'!E58</f>
        <v>0</v>
      </c>
    </row>
    <row r="23" spans="2:29">
      <c r="B23" s="27" t="s">
        <v>104</v>
      </c>
      <c r="C23" s="28">
        <f t="shared" si="0"/>
        <v>0</v>
      </c>
      <c r="D23" s="29" t="str">
        <f>IF(ISERROR(C23/TOTAL!$C$3),"0%",C23/TOTAL!$C$3)</f>
        <v>0%</v>
      </c>
      <c r="E23" s="17"/>
      <c r="F23" s="10">
        <f>+'3'!D1</f>
        <v>46145</v>
      </c>
      <c r="G23" s="11" t="str">
        <f>+'3'!A3</f>
        <v/>
      </c>
      <c r="H23" s="11">
        <f>+'3'!B3</f>
        <v>0</v>
      </c>
      <c r="I23" s="11">
        <f>+'3'!C3</f>
        <v>0</v>
      </c>
      <c r="J23" s="11">
        <f>+'3'!D3</f>
        <v>0</v>
      </c>
      <c r="K23" s="13">
        <f>+'3'!E3</f>
        <v>0</v>
      </c>
      <c r="M23" s="10">
        <f>+'2'!D1</f>
        <v>46144</v>
      </c>
      <c r="N23" s="11" t="str">
        <f>+'2'!A31</f>
        <v/>
      </c>
      <c r="O23" s="11">
        <f>+'2'!B31</f>
        <v>0</v>
      </c>
      <c r="P23" s="11">
        <f>+'2'!C31</f>
        <v>0</v>
      </c>
      <c r="Q23" s="11">
        <f>+'2'!D31</f>
        <v>0</v>
      </c>
      <c r="R23" s="13">
        <f>+'2'!E31</f>
        <v>0</v>
      </c>
      <c r="T23" s="10">
        <f>+'2'!D1</f>
        <v>46144</v>
      </c>
      <c r="U23" s="56" t="str">
        <f>+'2'!A36</f>
        <v/>
      </c>
      <c r="V23" s="56">
        <f>+'2'!B36</f>
        <v>0</v>
      </c>
      <c r="W23" s="56">
        <f>+'2'!C36</f>
        <v>0</v>
      </c>
      <c r="X23" s="56">
        <f>+'2'!D36</f>
        <v>0</v>
      </c>
      <c r="Y23" s="61">
        <f>+'2'!E36</f>
        <v>0</v>
      </c>
      <c r="AA23" s="10">
        <f>+'7'!D1</f>
        <v>46149</v>
      </c>
      <c r="AB23" s="56">
        <f>+'7'!D59</f>
        <v>0</v>
      </c>
      <c r="AC23" s="62">
        <f>+'7'!E59</f>
        <v>0</v>
      </c>
    </row>
    <row r="24" spans="2:29">
      <c r="B24" s="27" t="s">
        <v>105</v>
      </c>
      <c r="C24" s="28">
        <f t="shared" si="0"/>
        <v>0</v>
      </c>
      <c r="D24" s="29" t="str">
        <f>IF(ISERROR(C24/TOTAL!$C$3),"0%",C24/TOTAL!$C$3)</f>
        <v>0%</v>
      </c>
      <c r="E24" s="17"/>
      <c r="F24" s="10">
        <f>+'3'!D1</f>
        <v>46145</v>
      </c>
      <c r="G24" s="11" t="str">
        <f>+'3'!A4</f>
        <v/>
      </c>
      <c r="H24" s="11">
        <f>+'3'!B4</f>
        <v>0</v>
      </c>
      <c r="I24" s="11">
        <f>+'3'!C4</f>
        <v>0</v>
      </c>
      <c r="J24" s="11">
        <f>+'3'!D4</f>
        <v>0</v>
      </c>
      <c r="K24" s="13">
        <f>+'3'!E4</f>
        <v>0</v>
      </c>
      <c r="M24" s="10">
        <f>+'2'!D1</f>
        <v>46144</v>
      </c>
      <c r="N24" s="11" t="str">
        <f>+'2'!A32</f>
        <v/>
      </c>
      <c r="O24" s="11">
        <f>+'2'!B32</f>
        <v>0</v>
      </c>
      <c r="P24" s="11">
        <f>+'2'!C32</f>
        <v>0</v>
      </c>
      <c r="Q24" s="11">
        <f>+'2'!D32</f>
        <v>0</v>
      </c>
      <c r="R24" s="13">
        <f>+'2'!E32</f>
        <v>0</v>
      </c>
      <c r="T24" s="10">
        <f>+'2'!D1</f>
        <v>46144</v>
      </c>
      <c r="U24" s="56" t="str">
        <f>+'2'!A37</f>
        <v/>
      </c>
      <c r="V24" s="56">
        <f>+'2'!B37</f>
        <v>0</v>
      </c>
      <c r="W24" s="56">
        <f>+'2'!C37</f>
        <v>0</v>
      </c>
      <c r="X24" s="56">
        <f>+'2'!D37</f>
        <v>0</v>
      </c>
      <c r="Y24" s="61">
        <f>+'2'!E37</f>
        <v>0</v>
      </c>
      <c r="AA24" s="10">
        <f>+'8'!D1</f>
        <v>46150</v>
      </c>
      <c r="AB24" s="56">
        <f>+'8'!D57</f>
        <v>0</v>
      </c>
      <c r="AC24" s="62">
        <f>+'8'!E57</f>
        <v>0</v>
      </c>
    </row>
    <row r="25" spans="2:29">
      <c r="B25" s="27" t="s">
        <v>106</v>
      </c>
      <c r="C25" s="28">
        <f t="shared" si="0"/>
        <v>0</v>
      </c>
      <c r="D25" s="29" t="str">
        <f>IF(ISERROR(C25/TOTAL!$C$3),"0%",C25/TOTAL!$C$3)</f>
        <v>0%</v>
      </c>
      <c r="E25" s="17"/>
      <c r="F25" s="10">
        <f>+'3'!D1</f>
        <v>46145</v>
      </c>
      <c r="G25" s="11" t="str">
        <f>+'3'!A5</f>
        <v/>
      </c>
      <c r="H25" s="11">
        <f>+'3'!B5</f>
        <v>0</v>
      </c>
      <c r="I25" s="11">
        <f>+'3'!C5</f>
        <v>0</v>
      </c>
      <c r="J25" s="11">
        <f>+'3'!D5</f>
        <v>0</v>
      </c>
      <c r="K25" s="13">
        <f>+'3'!E5</f>
        <v>0</v>
      </c>
      <c r="M25" s="10">
        <f>+'2'!D1</f>
        <v>46144</v>
      </c>
      <c r="N25" s="11" t="str">
        <f>+'2'!A33</f>
        <v/>
      </c>
      <c r="O25" s="11">
        <f>+'2'!B33</f>
        <v>0</v>
      </c>
      <c r="P25" s="11">
        <f>+'2'!C33</f>
        <v>0</v>
      </c>
      <c r="Q25" s="11">
        <f>+'2'!D33</f>
        <v>0</v>
      </c>
      <c r="R25" s="13">
        <f>+'2'!E33</f>
        <v>0</v>
      </c>
      <c r="T25" s="10">
        <f>+'2'!D1</f>
        <v>46144</v>
      </c>
      <c r="U25" s="56" t="str">
        <f>+'2'!A38</f>
        <v/>
      </c>
      <c r="V25" s="56">
        <f>+'2'!B38</f>
        <v>0</v>
      </c>
      <c r="W25" s="56">
        <f>+'2'!C38</f>
        <v>0</v>
      </c>
      <c r="X25" s="56">
        <f>+'2'!D38</f>
        <v>0</v>
      </c>
      <c r="Y25" s="61">
        <f>+'2'!E38</f>
        <v>0</v>
      </c>
      <c r="AA25" s="10">
        <f>+'8'!D1</f>
        <v>46150</v>
      </c>
      <c r="AB25" s="56">
        <f>+'8'!D58</f>
        <v>0</v>
      </c>
      <c r="AC25" s="62">
        <f>+'8'!E58</f>
        <v>0</v>
      </c>
    </row>
    <row r="26" spans="2:29">
      <c r="B26" s="27" t="s">
        <v>107</v>
      </c>
      <c r="C26" s="28">
        <f t="shared" si="0"/>
        <v>0</v>
      </c>
      <c r="D26" s="29" t="str">
        <f>IF(ISERROR(C26/TOTAL!$C$3),"0%",C26/TOTAL!$C$3)</f>
        <v>0%</v>
      </c>
      <c r="E26" s="17"/>
      <c r="F26" s="10">
        <f>+'3'!D1</f>
        <v>46145</v>
      </c>
      <c r="G26" s="11" t="str">
        <f>+'3'!A6</f>
        <v/>
      </c>
      <c r="H26" s="11">
        <f>+'3'!B6</f>
        <v>0</v>
      </c>
      <c r="I26" s="11">
        <f>+'3'!C6</f>
        <v>0</v>
      </c>
      <c r="J26" s="11">
        <f>+'3'!D6</f>
        <v>0</v>
      </c>
      <c r="K26" s="13">
        <f>+'3'!E6</f>
        <v>0</v>
      </c>
      <c r="M26" s="10">
        <f>+'2'!D1</f>
        <v>46144</v>
      </c>
      <c r="N26" s="11" t="str">
        <f>+'2'!A34</f>
        <v/>
      </c>
      <c r="O26" s="11">
        <f>+'2'!B34</f>
        <v>0</v>
      </c>
      <c r="P26" s="11">
        <f>+'2'!C34</f>
        <v>0</v>
      </c>
      <c r="Q26" s="11">
        <f>+'2'!D34</f>
        <v>0</v>
      </c>
      <c r="R26" s="13">
        <f>+'2'!E34</f>
        <v>0</v>
      </c>
      <c r="T26" s="10">
        <f>+'2'!D1</f>
        <v>46144</v>
      </c>
      <c r="U26" s="56" t="str">
        <f>+'2'!A39</f>
        <v/>
      </c>
      <c r="V26" s="56">
        <f>+'2'!B39</f>
        <v>0</v>
      </c>
      <c r="W26" s="56">
        <f>+'2'!C39</f>
        <v>0</v>
      </c>
      <c r="X26" s="56">
        <f>+'2'!D39</f>
        <v>0</v>
      </c>
      <c r="Y26" s="61">
        <f>+'2'!E39</f>
        <v>0</v>
      </c>
      <c r="AA26" s="10">
        <f>+'8'!D1</f>
        <v>46150</v>
      </c>
      <c r="AB26" s="56">
        <f>+'8'!D59</f>
        <v>0</v>
      </c>
      <c r="AC26" s="62">
        <f>+'8'!E59</f>
        <v>0</v>
      </c>
    </row>
    <row r="27" spans="2:29">
      <c r="B27" s="27" t="s">
        <v>108</v>
      </c>
      <c r="C27" s="28">
        <f t="shared" si="0"/>
        <v>0</v>
      </c>
      <c r="D27" s="29" t="str">
        <f>IF(ISERROR(C27/TOTAL!$C$3),"0%",C27/TOTAL!$C$3)</f>
        <v>0%</v>
      </c>
      <c r="E27" s="17"/>
      <c r="F27" s="10">
        <f>+'3'!D1</f>
        <v>46145</v>
      </c>
      <c r="G27" s="11" t="str">
        <f>+'3'!A7</f>
        <v/>
      </c>
      <c r="H27" s="11">
        <f>+'3'!B7</f>
        <v>0</v>
      </c>
      <c r="I27" s="11">
        <f>+'3'!C7</f>
        <v>0</v>
      </c>
      <c r="J27" s="11">
        <f>+'3'!D7</f>
        <v>0</v>
      </c>
      <c r="K27" s="13">
        <f>+'3'!E7</f>
        <v>0</v>
      </c>
      <c r="M27" s="10">
        <f>+'3'!D1</f>
        <v>46145</v>
      </c>
      <c r="N27" s="11" t="str">
        <f>+'3'!A23</f>
        <v/>
      </c>
      <c r="O27" s="11">
        <f>+'3'!B23</f>
        <v>0</v>
      </c>
      <c r="P27" s="11">
        <f>+'3'!C23</f>
        <v>0</v>
      </c>
      <c r="Q27" s="11">
        <f>+'3'!D23</f>
        <v>0</v>
      </c>
      <c r="R27" s="13">
        <f>+'3'!E23</f>
        <v>0</v>
      </c>
      <c r="T27" s="10">
        <f>+'2'!D1</f>
        <v>46144</v>
      </c>
      <c r="U27" s="56" t="str">
        <f>+'2'!A40</f>
        <v/>
      </c>
      <c r="V27" s="56">
        <f>+'2'!B40</f>
        <v>0</v>
      </c>
      <c r="W27" s="56">
        <f>+'2'!C40</f>
        <v>0</v>
      </c>
      <c r="X27" s="56">
        <f>+'2'!D40</f>
        <v>0</v>
      </c>
      <c r="Y27" s="61">
        <f>+'2'!E40</f>
        <v>0</v>
      </c>
      <c r="AA27" s="10">
        <f>+'9'!D1</f>
        <v>46151</v>
      </c>
      <c r="AB27" s="56">
        <f>+'9'!D57</f>
        <v>0</v>
      </c>
      <c r="AC27" s="62">
        <f>+'9'!E57</f>
        <v>0</v>
      </c>
    </row>
    <row r="28" spans="2:29">
      <c r="B28" s="27" t="s">
        <v>109</v>
      </c>
      <c r="C28" s="28">
        <f t="shared" si="0"/>
        <v>0</v>
      </c>
      <c r="D28" s="29" t="str">
        <f>IF(ISERROR(C28/TOTAL!$C$3),"0%",C28/TOTAL!$C$3)</f>
        <v>0%</v>
      </c>
      <c r="E28" s="17"/>
      <c r="F28" s="10">
        <f>+'3'!D1</f>
        <v>46145</v>
      </c>
      <c r="G28" s="11" t="str">
        <f>+'3'!A8</f>
        <v/>
      </c>
      <c r="H28" s="11">
        <f>+'3'!B8</f>
        <v>0</v>
      </c>
      <c r="I28" s="11">
        <f>+'3'!C8</f>
        <v>0</v>
      </c>
      <c r="J28" s="11">
        <f>+'3'!D8</f>
        <v>0</v>
      </c>
      <c r="K28" s="13">
        <f>+'3'!E8</f>
        <v>0</v>
      </c>
      <c r="M28" s="10">
        <f>+'3'!D1</f>
        <v>46145</v>
      </c>
      <c r="N28" s="11" t="str">
        <f>+'3'!A24</f>
        <v/>
      </c>
      <c r="O28" s="11">
        <f>+'3'!B24</f>
        <v>0</v>
      </c>
      <c r="P28" s="11">
        <f>+'3'!C24</f>
        <v>0</v>
      </c>
      <c r="Q28" s="11">
        <f>+'3'!D24</f>
        <v>0</v>
      </c>
      <c r="R28" s="13">
        <f>+'3'!E24</f>
        <v>0</v>
      </c>
      <c r="T28" s="10">
        <f>+'2'!D1</f>
        <v>46144</v>
      </c>
      <c r="U28" s="56" t="str">
        <f>+'2'!A41</f>
        <v/>
      </c>
      <c r="V28" s="56">
        <f>+'2'!B41</f>
        <v>0</v>
      </c>
      <c r="W28" s="56">
        <f>+'2'!C41</f>
        <v>0</v>
      </c>
      <c r="X28" s="56">
        <f>+'2'!D41</f>
        <v>0</v>
      </c>
      <c r="Y28" s="61">
        <f>+'2'!E41</f>
        <v>0</v>
      </c>
      <c r="AA28" s="10">
        <f>+'9'!D1</f>
        <v>46151</v>
      </c>
      <c r="AB28" s="56">
        <f>+'9'!D58</f>
        <v>0</v>
      </c>
      <c r="AC28" s="62">
        <f>+'9'!E58</f>
        <v>0</v>
      </c>
    </row>
    <row r="29" spans="2:29">
      <c r="B29" s="27" t="s">
        <v>110</v>
      </c>
      <c r="C29" s="28">
        <f t="shared" si="0"/>
        <v>0</v>
      </c>
      <c r="D29" s="29" t="str">
        <f>IF(ISERROR(C29/TOTAL!$C$3),"0%",C29/TOTAL!$C$3)</f>
        <v>0%</v>
      </c>
      <c r="E29" s="17"/>
      <c r="F29" s="10">
        <f>+'3'!D1</f>
        <v>46145</v>
      </c>
      <c r="G29" s="11" t="str">
        <f>+'3'!A9</f>
        <v/>
      </c>
      <c r="H29" s="11">
        <f>+'3'!B9</f>
        <v>0</v>
      </c>
      <c r="I29" s="11">
        <f>+'3'!C9</f>
        <v>0</v>
      </c>
      <c r="J29" s="11" t="str">
        <f>+'3'!D9</f>
        <v> </v>
      </c>
      <c r="K29" s="13">
        <f>+'3'!E9</f>
        <v>0</v>
      </c>
      <c r="M29" s="10">
        <f>+'3'!D1</f>
        <v>46145</v>
      </c>
      <c r="N29" s="11" t="str">
        <f>+'3'!A25</f>
        <v/>
      </c>
      <c r="O29" s="11">
        <f>+'3'!B25</f>
        <v>0</v>
      </c>
      <c r="P29" s="11">
        <f>+'3'!C25</f>
        <v>0</v>
      </c>
      <c r="Q29" s="11">
        <f>+'3'!D25</f>
        <v>0</v>
      </c>
      <c r="R29" s="13">
        <f>+'3'!E25</f>
        <v>0</v>
      </c>
      <c r="T29" s="10">
        <f>+'2'!D1</f>
        <v>46144</v>
      </c>
      <c r="U29" s="56" t="str">
        <f>+'2'!A42</f>
        <v/>
      </c>
      <c r="V29" s="56">
        <f>+'2'!B42</f>
        <v>0</v>
      </c>
      <c r="W29" s="56">
        <f>+'2'!C42</f>
        <v>0</v>
      </c>
      <c r="X29" s="56">
        <f>+'2'!D42</f>
        <v>0</v>
      </c>
      <c r="Y29" s="61">
        <f>+'2'!E42</f>
        <v>0</v>
      </c>
      <c r="AA29" s="10">
        <f>+'9'!D1</f>
        <v>46151</v>
      </c>
      <c r="AB29" s="56">
        <f>+'9'!D59</f>
        <v>0</v>
      </c>
      <c r="AC29" s="62">
        <f>+'9'!E59</f>
        <v>0</v>
      </c>
    </row>
    <row r="30" spans="2:29">
      <c r="B30" s="27" t="s">
        <v>111</v>
      </c>
      <c r="C30" s="28">
        <f t="shared" si="0"/>
        <v>0</v>
      </c>
      <c r="D30" s="29" t="str">
        <f>IF(ISERROR(C30/TOTAL!$C$3),"0%",C30/TOTAL!$C$3)</f>
        <v>0%</v>
      </c>
      <c r="E30" s="17"/>
      <c r="F30" s="10">
        <f>+'3'!D1</f>
        <v>46145</v>
      </c>
      <c r="G30" s="11" t="str">
        <f>+'3'!A10</f>
        <v/>
      </c>
      <c r="H30" s="11">
        <f>+'3'!B10</f>
        <v>0</v>
      </c>
      <c r="I30" s="11">
        <f>+'3'!C10</f>
        <v>0</v>
      </c>
      <c r="J30" s="11">
        <f>+'3'!D10</f>
        <v>0</v>
      </c>
      <c r="K30" s="13">
        <f>+'3'!E10</f>
        <v>0</v>
      </c>
      <c r="M30" s="10">
        <f>+'3'!D1</f>
        <v>46145</v>
      </c>
      <c r="N30" s="11" t="str">
        <f>+'3'!A26</f>
        <v/>
      </c>
      <c r="O30" s="11">
        <f>+'3'!B26</f>
        <v>0</v>
      </c>
      <c r="P30" s="11">
        <f>+'3'!C26</f>
        <v>0</v>
      </c>
      <c r="Q30" s="11">
        <f>+'3'!D26</f>
        <v>0</v>
      </c>
      <c r="R30" s="13">
        <f>+'3'!E26</f>
        <v>0</v>
      </c>
      <c r="T30" s="10">
        <f>+'2'!D1</f>
        <v>46144</v>
      </c>
      <c r="U30" s="56" t="str">
        <f>+'2'!A43</f>
        <v/>
      </c>
      <c r="V30" s="56">
        <f>+'2'!B43</f>
        <v>0</v>
      </c>
      <c r="W30" s="56">
        <f>+'2'!C43</f>
        <v>0</v>
      </c>
      <c r="X30" s="56">
        <f>+'2'!D43</f>
        <v>0</v>
      </c>
      <c r="Y30" s="61">
        <f>+'2'!E43</f>
        <v>0</v>
      </c>
      <c r="AA30" s="10">
        <f>+'10'!D1</f>
        <v>46152</v>
      </c>
      <c r="AB30" s="56">
        <f>+'10'!D57</f>
        <v>0</v>
      </c>
      <c r="AC30" s="62">
        <f>+'10'!E57</f>
        <v>0</v>
      </c>
    </row>
    <row r="31" spans="2:29">
      <c r="B31" s="27" t="s">
        <v>112</v>
      </c>
      <c r="C31" s="28">
        <f t="shared" si="0"/>
        <v>0</v>
      </c>
      <c r="D31" s="29" t="str">
        <f>IF(ISERROR(C31/TOTAL!$C$3),"0%",C31/TOTAL!$C$3)</f>
        <v>0%</v>
      </c>
      <c r="E31" s="17"/>
      <c r="F31" s="10">
        <f>+'3'!D1</f>
        <v>46145</v>
      </c>
      <c r="G31" s="11" t="str">
        <f>+'3'!A11</f>
        <v/>
      </c>
      <c r="H31" s="11">
        <f>+'3'!B11</f>
        <v>0</v>
      </c>
      <c r="I31" s="11">
        <f>+'3'!C11</f>
        <v>0</v>
      </c>
      <c r="J31" s="11">
        <f>+'3'!D11</f>
        <v>0</v>
      </c>
      <c r="K31" s="13">
        <f>+'3'!E11</f>
        <v>0</v>
      </c>
      <c r="M31" s="10">
        <f>+'3'!D1</f>
        <v>46145</v>
      </c>
      <c r="N31" s="11" t="str">
        <f>+'3'!A27</f>
        <v/>
      </c>
      <c r="O31" s="11">
        <f>+'3'!B27</f>
        <v>0</v>
      </c>
      <c r="P31" s="11">
        <f>+'3'!C27</f>
        <v>0</v>
      </c>
      <c r="Q31" s="11">
        <f>+'3'!D27</f>
        <v>0</v>
      </c>
      <c r="R31" s="13">
        <f>+'3'!E27</f>
        <v>0</v>
      </c>
      <c r="T31" s="10">
        <f>+'2'!D1</f>
        <v>46144</v>
      </c>
      <c r="U31" s="56" t="str">
        <f>+'2'!A44</f>
        <v/>
      </c>
      <c r="V31" s="56">
        <f>+'2'!B44</f>
        <v>0</v>
      </c>
      <c r="W31" s="56">
        <f>+'2'!C44</f>
        <v>0</v>
      </c>
      <c r="X31" s="56">
        <f>+'2'!D44</f>
        <v>0</v>
      </c>
      <c r="Y31" s="61">
        <f>+'2'!E44</f>
        <v>0</v>
      </c>
      <c r="AA31" s="10">
        <f>+'10'!D1</f>
        <v>46152</v>
      </c>
      <c r="AB31" s="56">
        <f>+'10'!D58</f>
        <v>0</v>
      </c>
      <c r="AC31" s="62">
        <f>+'10'!E58</f>
        <v>0</v>
      </c>
    </row>
    <row r="32" spans="2:29">
      <c r="B32" s="27" t="s">
        <v>113</v>
      </c>
      <c r="C32" s="28">
        <f t="shared" si="0"/>
        <v>0</v>
      </c>
      <c r="D32" s="29" t="str">
        <f>IF(ISERROR(C32/TOTAL!$C$3),"0%",C32/TOTAL!$C$3)</f>
        <v>0%</v>
      </c>
      <c r="E32" s="17"/>
      <c r="F32" s="10">
        <f>+'3'!D1</f>
        <v>46145</v>
      </c>
      <c r="G32" s="11" t="str">
        <f>+'3'!A12</f>
        <v/>
      </c>
      <c r="H32" s="11">
        <f>+'3'!B12</f>
        <v>0</v>
      </c>
      <c r="I32" s="11">
        <f>+'3'!C12</f>
        <v>0</v>
      </c>
      <c r="J32" s="11">
        <f>+'3'!D12</f>
        <v>0</v>
      </c>
      <c r="K32" s="13">
        <f>+'3'!E12</f>
        <v>0</v>
      </c>
      <c r="M32" s="10">
        <f>+'3'!D1</f>
        <v>46145</v>
      </c>
      <c r="N32" s="11" t="str">
        <f>+'3'!A28</f>
        <v/>
      </c>
      <c r="O32" s="11">
        <f>+'3'!B28</f>
        <v>0</v>
      </c>
      <c r="P32" s="11">
        <f>+'3'!C28</f>
        <v>0</v>
      </c>
      <c r="Q32" s="11">
        <f>+'3'!D28</f>
        <v>0</v>
      </c>
      <c r="R32" s="13">
        <f>+'3'!E28</f>
        <v>0</v>
      </c>
      <c r="T32" s="10">
        <f>+'2'!D1</f>
        <v>46144</v>
      </c>
      <c r="U32" s="56" t="str">
        <f>+'2'!A45</f>
        <v/>
      </c>
      <c r="V32" s="56">
        <f>+'2'!B45</f>
        <v>0</v>
      </c>
      <c r="W32" s="56">
        <f>+'2'!C45</f>
        <v>0</v>
      </c>
      <c r="X32" s="56">
        <f>+'2'!D45</f>
        <v>0</v>
      </c>
      <c r="Y32" s="61">
        <f>+'2'!E45</f>
        <v>0</v>
      </c>
      <c r="AA32" s="10">
        <f>+'10'!D1</f>
        <v>46152</v>
      </c>
      <c r="AB32" s="56">
        <f>+'10'!D59</f>
        <v>0</v>
      </c>
      <c r="AC32" s="62">
        <f>+'10'!E59</f>
        <v>0</v>
      </c>
    </row>
    <row r="33" spans="2:29">
      <c r="B33" s="27" t="s">
        <v>114</v>
      </c>
      <c r="C33" s="28">
        <f t="shared" si="0"/>
        <v>0</v>
      </c>
      <c r="D33" s="29" t="str">
        <f>IF(ISERROR(C33/TOTAL!$C$3),"0%",C33/TOTAL!$C$3)</f>
        <v>0%</v>
      </c>
      <c r="E33" s="17"/>
      <c r="F33" s="10">
        <f>+'4'!D1</f>
        <v>46146</v>
      </c>
      <c r="G33" s="11" t="str">
        <f>+'4'!A3</f>
        <v/>
      </c>
      <c r="H33" s="11">
        <f>+'4'!B3</f>
        <v>0</v>
      </c>
      <c r="I33" s="11">
        <f>+'4'!C3</f>
        <v>0</v>
      </c>
      <c r="J33" s="11">
        <f>+'4'!D3</f>
        <v>0</v>
      </c>
      <c r="K33" s="13">
        <f>+'4'!E3</f>
        <v>0</v>
      </c>
      <c r="M33" s="10">
        <f>+'3'!D1</f>
        <v>46145</v>
      </c>
      <c r="N33" s="11" t="str">
        <f>+'3'!A29</f>
        <v/>
      </c>
      <c r="O33" s="11">
        <f>+'3'!B29</f>
        <v>0</v>
      </c>
      <c r="P33" s="11">
        <f>+'3'!C29</f>
        <v>0</v>
      </c>
      <c r="Q33" s="11">
        <f>+'3'!D29</f>
        <v>0</v>
      </c>
      <c r="R33" s="13">
        <f>+'3'!E29</f>
        <v>0</v>
      </c>
      <c r="T33" s="10">
        <f>+'2'!D1</f>
        <v>46144</v>
      </c>
      <c r="U33" s="56" t="str">
        <f>+'2'!A46</f>
        <v/>
      </c>
      <c r="V33" s="56">
        <f>+'2'!B46</f>
        <v>0</v>
      </c>
      <c r="W33" s="56">
        <f>+'2'!C46</f>
        <v>0</v>
      </c>
      <c r="X33" s="56">
        <f>+'2'!D46</f>
        <v>0</v>
      </c>
      <c r="Y33" s="61">
        <f>+'2'!E46</f>
        <v>0</v>
      </c>
      <c r="AA33" s="10">
        <f>+'11'!D1</f>
        <v>46153</v>
      </c>
      <c r="AB33" s="56">
        <f>+'11'!D57</f>
        <v>0</v>
      </c>
      <c r="AC33" s="62">
        <f>+'11'!E57</f>
        <v>0</v>
      </c>
    </row>
    <row r="34" spans="2:29">
      <c r="B34" s="27" t="s">
        <v>115</v>
      </c>
      <c r="C34" s="28">
        <f t="shared" si="0"/>
        <v>0</v>
      </c>
      <c r="D34" s="29" t="str">
        <f>IF(ISERROR(C34/TOTAL!$C$3),"0%",C34/TOTAL!$C$3)</f>
        <v>0%</v>
      </c>
      <c r="E34" s="17"/>
      <c r="F34" s="10">
        <f>+'4'!D1</f>
        <v>46146</v>
      </c>
      <c r="G34" s="11" t="str">
        <f>+'4'!A4</f>
        <v/>
      </c>
      <c r="H34" s="11">
        <f>+'4'!B4</f>
        <v>0</v>
      </c>
      <c r="I34" s="11">
        <f>+'4'!C4</f>
        <v>0</v>
      </c>
      <c r="J34" s="11">
        <f>+'4'!D4</f>
        <v>0</v>
      </c>
      <c r="K34" s="13">
        <f>+'4'!E4</f>
        <v>0</v>
      </c>
      <c r="M34" s="10">
        <f>+'3'!D1</f>
        <v>46145</v>
      </c>
      <c r="N34" s="11" t="str">
        <f>+'3'!A30</f>
        <v/>
      </c>
      <c r="O34" s="11">
        <f>+'3'!B30</f>
        <v>0</v>
      </c>
      <c r="P34" s="11">
        <f>+'3'!C30</f>
        <v>0</v>
      </c>
      <c r="Q34" s="11">
        <f>+'3'!D30</f>
        <v>0</v>
      </c>
      <c r="R34" s="13">
        <f>+'3'!E30</f>
        <v>0</v>
      </c>
      <c r="T34" s="10">
        <f>+'2'!D1</f>
        <v>46144</v>
      </c>
      <c r="U34" s="56" t="str">
        <f>+'2'!A47</f>
        <v/>
      </c>
      <c r="V34" s="56">
        <f>+'2'!B47</f>
        <v>0</v>
      </c>
      <c r="W34" s="56">
        <f>+'2'!C47</f>
        <v>0</v>
      </c>
      <c r="X34" s="56">
        <f>+'2'!D47</f>
        <v>0</v>
      </c>
      <c r="Y34" s="61">
        <f>+'2'!E47</f>
        <v>0</v>
      </c>
      <c r="AA34" s="10">
        <f>+'11'!D1</f>
        <v>46153</v>
      </c>
      <c r="AB34" s="56">
        <f>+'11'!D58</f>
        <v>0</v>
      </c>
      <c r="AC34" s="62">
        <f>+'11'!E58</f>
        <v>0</v>
      </c>
    </row>
    <row r="35" spans="2:29">
      <c r="B35" s="27" t="s">
        <v>116</v>
      </c>
      <c r="C35" s="28">
        <f t="shared" si="0"/>
        <v>0</v>
      </c>
      <c r="D35" s="29" t="str">
        <f>IF(ISERROR(C35/TOTAL!$C$3),"0%",C35/TOTAL!$C$3)</f>
        <v>0%</v>
      </c>
      <c r="E35" s="17"/>
      <c r="F35" s="10">
        <f>+'4'!D1</f>
        <v>46146</v>
      </c>
      <c r="G35" s="11" t="str">
        <f>+'4'!A5</f>
        <v/>
      </c>
      <c r="H35" s="11">
        <f>+'4'!B5</f>
        <v>0</v>
      </c>
      <c r="I35" s="11">
        <f>+'4'!C5</f>
        <v>0</v>
      </c>
      <c r="J35" s="11">
        <f>+'4'!D5</f>
        <v>0</v>
      </c>
      <c r="K35" s="13">
        <f>+'4'!E5</f>
        <v>0</v>
      </c>
      <c r="M35" s="10">
        <f>+'3'!D1</f>
        <v>46145</v>
      </c>
      <c r="N35" s="11" t="str">
        <f>+'3'!A31</f>
        <v/>
      </c>
      <c r="O35" s="11">
        <f>+'3'!B31</f>
        <v>0</v>
      </c>
      <c r="P35" s="11">
        <f>+'3'!C31</f>
        <v>0</v>
      </c>
      <c r="Q35" s="11">
        <f>+'3'!D31</f>
        <v>0</v>
      </c>
      <c r="R35" s="13">
        <f>+'3'!E31</f>
        <v>0</v>
      </c>
      <c r="T35" s="10">
        <f>+'2'!D1</f>
        <v>46144</v>
      </c>
      <c r="U35" s="56" t="str">
        <f>+'2'!A48</f>
        <v/>
      </c>
      <c r="V35" s="56">
        <f>+'2'!B48</f>
        <v>0</v>
      </c>
      <c r="W35" s="56">
        <f>+'2'!C48</f>
        <v>0</v>
      </c>
      <c r="X35" s="56">
        <f>+'2'!D48</f>
        <v>0</v>
      </c>
      <c r="Y35" s="61">
        <f>+'2'!E48</f>
        <v>0</v>
      </c>
      <c r="AA35" s="10">
        <f>+'11'!D1</f>
        <v>46153</v>
      </c>
      <c r="AB35" s="56">
        <f>+'11'!D59</f>
        <v>0</v>
      </c>
      <c r="AC35" s="62">
        <f>+'11'!E59</f>
        <v>0</v>
      </c>
    </row>
    <row r="36" spans="2:29">
      <c r="B36" s="27" t="s">
        <v>117</v>
      </c>
      <c r="C36" s="28">
        <f t="shared" si="0"/>
        <v>0</v>
      </c>
      <c r="D36" s="29" t="str">
        <f>IF(ISERROR(C36/TOTAL!$C$3),"0%",C36/TOTAL!$C$3)</f>
        <v>0%</v>
      </c>
      <c r="E36" s="17"/>
      <c r="F36" s="10">
        <f>+'4'!D1</f>
        <v>46146</v>
      </c>
      <c r="G36" s="11" t="str">
        <f>+'4'!A6</f>
        <v/>
      </c>
      <c r="H36" s="11">
        <f>+'4'!B6</f>
        <v>0</v>
      </c>
      <c r="I36" s="11">
        <f>+'4'!C6</f>
        <v>0</v>
      </c>
      <c r="J36" s="11">
        <f>+'4'!D6</f>
        <v>0</v>
      </c>
      <c r="K36" s="13">
        <f>+'4'!E6</f>
        <v>0</v>
      </c>
      <c r="M36" s="10">
        <f>+'3'!D1</f>
        <v>46145</v>
      </c>
      <c r="N36" s="11" t="str">
        <f>+'3'!A32</f>
        <v/>
      </c>
      <c r="O36" s="11">
        <f>+'3'!B32</f>
        <v>0</v>
      </c>
      <c r="P36" s="11">
        <f>+'3'!C32</f>
        <v>0</v>
      </c>
      <c r="Q36" s="11">
        <f>+'3'!D32</f>
        <v>0</v>
      </c>
      <c r="R36" s="13">
        <f>+'3'!E32</f>
        <v>0</v>
      </c>
      <c r="T36" s="10">
        <f>+'2'!D1</f>
        <v>46144</v>
      </c>
      <c r="U36" s="56" t="str">
        <f>+'2'!A49</f>
        <v/>
      </c>
      <c r="V36" s="56">
        <f>+'2'!B49</f>
        <v>0</v>
      </c>
      <c r="W36" s="56">
        <f>+'2'!C49</f>
        <v>0</v>
      </c>
      <c r="X36" s="56">
        <f>+'2'!D49</f>
        <v>0</v>
      </c>
      <c r="Y36" s="61">
        <f>+'2'!E49</f>
        <v>0</v>
      </c>
      <c r="AA36" s="10">
        <f>+'12'!D1</f>
        <v>46154</v>
      </c>
      <c r="AB36" s="56">
        <f>+'12'!D57</f>
        <v>0</v>
      </c>
      <c r="AC36" s="62">
        <f>+'12'!E57</f>
        <v>0</v>
      </c>
    </row>
    <row r="37" spans="2:29">
      <c r="B37" s="27" t="s">
        <v>118</v>
      </c>
      <c r="C37" s="28">
        <f t="shared" si="0"/>
        <v>0</v>
      </c>
      <c r="D37" s="29" t="str">
        <f>IF(ISERROR(C37/TOTAL!$C$3),"0%",C37/TOTAL!$C$3)</f>
        <v>0%</v>
      </c>
      <c r="E37" s="17"/>
      <c r="F37" s="10">
        <f>+'4'!D1</f>
        <v>46146</v>
      </c>
      <c r="G37" s="11" t="str">
        <f>+'4'!A7</f>
        <v/>
      </c>
      <c r="H37" s="11">
        <f>+'4'!B7</f>
        <v>0</v>
      </c>
      <c r="I37" s="11">
        <f>+'4'!C7</f>
        <v>0</v>
      </c>
      <c r="J37" s="11">
        <f>+'4'!D7</f>
        <v>0</v>
      </c>
      <c r="K37" s="13">
        <f>+'4'!E7</f>
        <v>0</v>
      </c>
      <c r="M37" s="10">
        <f>+'3'!D1</f>
        <v>46145</v>
      </c>
      <c r="N37" s="11" t="str">
        <f>+'3'!A33</f>
        <v/>
      </c>
      <c r="O37" s="11">
        <f>+'3'!B33</f>
        <v>0</v>
      </c>
      <c r="P37" s="11">
        <f>+'3'!C33</f>
        <v>0</v>
      </c>
      <c r="Q37" s="11">
        <f>+'3'!D33</f>
        <v>0</v>
      </c>
      <c r="R37" s="13">
        <f>+'3'!E33</f>
        <v>0</v>
      </c>
      <c r="T37" s="10">
        <f>+'2'!D1</f>
        <v>46144</v>
      </c>
      <c r="U37" s="56" t="str">
        <f>+'2'!A50</f>
        <v/>
      </c>
      <c r="V37" s="56">
        <f>+'2'!B50</f>
        <v>0</v>
      </c>
      <c r="W37" s="56">
        <f>+'2'!C50</f>
        <v>0</v>
      </c>
      <c r="X37" s="56">
        <f>+'2'!D50</f>
        <v>0</v>
      </c>
      <c r="Y37" s="61">
        <f>+'2'!E50</f>
        <v>0</v>
      </c>
      <c r="AA37" s="10">
        <f>+'12'!D1</f>
        <v>46154</v>
      </c>
      <c r="AB37" s="56">
        <f>+'12'!D58</f>
        <v>0</v>
      </c>
      <c r="AC37" s="62">
        <f>+'12'!E58</f>
        <v>0</v>
      </c>
    </row>
    <row r="38" spans="1:29">
      <c r="A38" s="26"/>
      <c r="B38" s="27" t="s">
        <v>119</v>
      </c>
      <c r="C38" s="28">
        <f t="shared" si="0"/>
        <v>0</v>
      </c>
      <c r="D38" s="29" t="str">
        <f>IF(ISERROR(C38/TOTAL!$C$3),"0%",C38/TOTAL!$C$3)</f>
        <v>0%</v>
      </c>
      <c r="E38" s="17"/>
      <c r="F38" s="10">
        <f>+'4'!D1</f>
        <v>46146</v>
      </c>
      <c r="G38" s="11" t="str">
        <f>+'4'!A8</f>
        <v/>
      </c>
      <c r="H38" s="11">
        <f>+'4'!B8</f>
        <v>0</v>
      </c>
      <c r="I38" s="11">
        <f>+'4'!C8</f>
        <v>0</v>
      </c>
      <c r="J38" s="11">
        <f>+'4'!D8</f>
        <v>0</v>
      </c>
      <c r="K38" s="13">
        <f>+'4'!E8</f>
        <v>0</v>
      </c>
      <c r="M38" s="10">
        <f>+'3'!D1</f>
        <v>46145</v>
      </c>
      <c r="N38" s="11" t="str">
        <f>+'3'!A34</f>
        <v/>
      </c>
      <c r="O38" s="11">
        <f>+'3'!B34</f>
        <v>0</v>
      </c>
      <c r="P38" s="11">
        <f>+'3'!C34</f>
        <v>0</v>
      </c>
      <c r="Q38" s="11">
        <f>+'3'!D34</f>
        <v>0</v>
      </c>
      <c r="R38" s="13">
        <f>+'3'!E34</f>
        <v>0</v>
      </c>
      <c r="T38" s="10">
        <f>+'2'!D1</f>
        <v>46144</v>
      </c>
      <c r="U38" s="56" t="str">
        <f>+'2'!A51</f>
        <v/>
      </c>
      <c r="V38" s="56">
        <f>+'2'!B51</f>
        <v>0</v>
      </c>
      <c r="W38" s="56">
        <f>+'2'!C51</f>
        <v>0</v>
      </c>
      <c r="X38" s="56">
        <f>+'2'!D51</f>
        <v>0</v>
      </c>
      <c r="Y38" s="61">
        <f>+'2'!E51</f>
        <v>0</v>
      </c>
      <c r="AA38" s="10">
        <f>+'12'!D1</f>
        <v>46154</v>
      </c>
      <c r="AB38" s="56">
        <f>+'12'!D59</f>
        <v>0</v>
      </c>
      <c r="AC38" s="62">
        <f>+'12'!E59</f>
        <v>0</v>
      </c>
    </row>
    <row r="39" spans="2:29">
      <c r="B39" s="27" t="s">
        <v>120</v>
      </c>
      <c r="C39" s="28">
        <f t="shared" si="0"/>
        <v>0</v>
      </c>
      <c r="D39" s="29" t="str">
        <f>IF(ISERROR(C39/TOTAL!$C$3),"0%",C39/TOTAL!$C$3)</f>
        <v>0%</v>
      </c>
      <c r="E39" s="17"/>
      <c r="F39" s="10">
        <f>+'4'!D1</f>
        <v>46146</v>
      </c>
      <c r="G39" s="11" t="str">
        <f>+'4'!A9</f>
        <v/>
      </c>
      <c r="H39" s="11">
        <f>+'4'!B9</f>
        <v>0</v>
      </c>
      <c r="I39" s="11">
        <f>+'4'!C9</f>
        <v>0</v>
      </c>
      <c r="J39" s="11" t="str">
        <f>+'4'!D9</f>
        <v> </v>
      </c>
      <c r="K39" s="13">
        <f>+'4'!E9</f>
        <v>0</v>
      </c>
      <c r="M39" s="10">
        <f>+'4'!D1</f>
        <v>46146</v>
      </c>
      <c r="N39" s="11" t="str">
        <f>+'4'!A23</f>
        <v/>
      </c>
      <c r="O39" s="11">
        <f>+'4'!B23</f>
        <v>0</v>
      </c>
      <c r="P39" s="11">
        <f>+'4'!C23</f>
        <v>0</v>
      </c>
      <c r="Q39" s="11">
        <f>+'4'!D23</f>
        <v>0</v>
      </c>
      <c r="R39" s="13">
        <f>+'4'!E23</f>
        <v>0</v>
      </c>
      <c r="T39" s="10">
        <f>+'2'!D1</f>
        <v>46144</v>
      </c>
      <c r="U39" s="56" t="str">
        <f>+'2'!A52</f>
        <v/>
      </c>
      <c r="V39" s="56">
        <f>+'2'!B52</f>
        <v>0</v>
      </c>
      <c r="W39" s="56">
        <f>+'2'!C52</f>
        <v>0</v>
      </c>
      <c r="X39" s="56">
        <f>+'2'!D52</f>
        <v>0</v>
      </c>
      <c r="Y39" s="61">
        <f>+'2'!E52</f>
        <v>0</v>
      </c>
      <c r="AA39" s="10">
        <f>+'13'!D1</f>
        <v>46155</v>
      </c>
      <c r="AB39" s="56">
        <f>+'13'!D57</f>
        <v>0</v>
      </c>
      <c r="AC39" s="62">
        <f>+'13'!E57</f>
        <v>0</v>
      </c>
    </row>
    <row r="40" spans="2:29">
      <c r="B40" s="27" t="s">
        <v>121</v>
      </c>
      <c r="C40" s="28">
        <f t="shared" si="0"/>
        <v>0</v>
      </c>
      <c r="D40" s="29" t="str">
        <f>IF(ISERROR(C40/TOTAL!$C$3),"0%",C40/TOTAL!$C$3)</f>
        <v>0%</v>
      </c>
      <c r="E40" s="17"/>
      <c r="F40" s="10">
        <f>+'4'!D1</f>
        <v>46146</v>
      </c>
      <c r="G40" s="11" t="str">
        <f>+'4'!A10</f>
        <v/>
      </c>
      <c r="H40" s="11">
        <f>+'4'!B10</f>
        <v>0</v>
      </c>
      <c r="I40" s="11">
        <f>+'4'!C10</f>
        <v>0</v>
      </c>
      <c r="J40" s="11">
        <f>+'4'!D10</f>
        <v>0</v>
      </c>
      <c r="K40" s="13">
        <f>+'4'!E10</f>
        <v>0</v>
      </c>
      <c r="M40" s="10">
        <f>+'4'!D1</f>
        <v>46146</v>
      </c>
      <c r="N40" s="11" t="str">
        <f>+'4'!A24</f>
        <v/>
      </c>
      <c r="O40" s="11">
        <f>+'4'!B24</f>
        <v>0</v>
      </c>
      <c r="P40" s="11">
        <f>+'4'!C24</f>
        <v>0</v>
      </c>
      <c r="Q40" s="11">
        <f>+'4'!D24</f>
        <v>0</v>
      </c>
      <c r="R40" s="13">
        <f>+'4'!E24</f>
        <v>0</v>
      </c>
      <c r="T40" s="10">
        <f>+'2'!D1</f>
        <v>46144</v>
      </c>
      <c r="U40" s="56" t="str">
        <f>+'2'!A53</f>
        <v/>
      </c>
      <c r="V40" s="56">
        <f>+'2'!B53</f>
        <v>0</v>
      </c>
      <c r="W40" s="56">
        <f>+'2'!C53</f>
        <v>0</v>
      </c>
      <c r="X40" s="56">
        <f>+'2'!D53</f>
        <v>0</v>
      </c>
      <c r="Y40" s="61">
        <f>+'2'!E53</f>
        <v>0</v>
      </c>
      <c r="AA40" s="10">
        <f>+'13'!D1</f>
        <v>46155</v>
      </c>
      <c r="AB40" s="56">
        <f>+'13'!D58</f>
        <v>0</v>
      </c>
      <c r="AC40" s="62">
        <f>+'13'!E58</f>
        <v>0</v>
      </c>
    </row>
    <row r="41" spans="2:29">
      <c r="B41" s="27" t="s">
        <v>122</v>
      </c>
      <c r="C41" s="28">
        <f t="shared" si="0"/>
        <v>0</v>
      </c>
      <c r="D41" s="29" t="str">
        <f>IF(ISERROR(C41/TOTAL!$C$3),"0%",C41/TOTAL!$C$3)</f>
        <v>0%</v>
      </c>
      <c r="E41" s="17"/>
      <c r="F41" s="10">
        <f>+'4'!D1</f>
        <v>46146</v>
      </c>
      <c r="G41" s="11" t="str">
        <f>+'4'!A11</f>
        <v/>
      </c>
      <c r="H41" s="11">
        <f>+'4'!B11</f>
        <v>0</v>
      </c>
      <c r="I41" s="11">
        <f>+'4'!C11</f>
        <v>0</v>
      </c>
      <c r="J41" s="11">
        <f>+'4'!D11</f>
        <v>0</v>
      </c>
      <c r="K41" s="13">
        <f>+'4'!E11</f>
        <v>0</v>
      </c>
      <c r="M41" s="10">
        <f>+'4'!D1</f>
        <v>46146</v>
      </c>
      <c r="N41" s="11" t="str">
        <f>+'4'!A25</f>
        <v/>
      </c>
      <c r="O41" s="11">
        <f>+'4'!B25</f>
        <v>0</v>
      </c>
      <c r="P41" s="11">
        <f>+'4'!C25</f>
        <v>0</v>
      </c>
      <c r="Q41" s="11">
        <f>+'4'!D25</f>
        <v>0</v>
      </c>
      <c r="R41" s="13">
        <f>+'4'!E25</f>
        <v>0</v>
      </c>
      <c r="T41" s="10">
        <f>+'2'!D1</f>
        <v>46144</v>
      </c>
      <c r="U41" s="56" t="str">
        <f>+'2'!A54</f>
        <v/>
      </c>
      <c r="V41" s="56">
        <f>+'2'!B54</f>
        <v>0</v>
      </c>
      <c r="W41" s="56">
        <f>+'2'!C54</f>
        <v>0</v>
      </c>
      <c r="X41" s="56">
        <f>+'2'!D54</f>
        <v>0</v>
      </c>
      <c r="Y41" s="61">
        <f>+'2'!E54</f>
        <v>0</v>
      </c>
      <c r="AA41" s="10">
        <f>+'13'!D1</f>
        <v>46155</v>
      </c>
      <c r="AB41" s="56">
        <f>+'13'!D59</f>
        <v>0</v>
      </c>
      <c r="AC41" s="62">
        <f>+'13'!E59</f>
        <v>0</v>
      </c>
    </row>
    <row r="42" spans="2:29">
      <c r="B42" s="27" t="s">
        <v>123</v>
      </c>
      <c r="C42" s="28">
        <f t="shared" si="0"/>
        <v>0</v>
      </c>
      <c r="D42" s="29" t="str">
        <f>IF(ISERROR(C42/TOTAL!$C$3),"0%",C42/TOTAL!$C$3)</f>
        <v>0%</v>
      </c>
      <c r="E42" s="17"/>
      <c r="F42" s="10">
        <f>+'4'!D1</f>
        <v>46146</v>
      </c>
      <c r="G42" s="11" t="str">
        <f>+'4'!A12</f>
        <v/>
      </c>
      <c r="H42" s="11">
        <f>+'4'!B12</f>
        <v>0</v>
      </c>
      <c r="I42" s="11">
        <f>+'4'!C12</f>
        <v>0</v>
      </c>
      <c r="J42" s="11">
        <f>+'4'!D12</f>
        <v>0</v>
      </c>
      <c r="K42" s="13">
        <f>+'4'!E12</f>
        <v>0</v>
      </c>
      <c r="M42" s="10">
        <f>+'4'!D1</f>
        <v>46146</v>
      </c>
      <c r="N42" s="11" t="str">
        <f>+'4'!A26</f>
        <v/>
      </c>
      <c r="O42" s="11">
        <f>+'4'!B26</f>
        <v>0</v>
      </c>
      <c r="P42" s="11">
        <f>+'4'!C26</f>
        <v>0</v>
      </c>
      <c r="Q42" s="11">
        <f>+'4'!D26</f>
        <v>0</v>
      </c>
      <c r="R42" s="13">
        <f>+'4'!E26</f>
        <v>0</v>
      </c>
      <c r="T42" s="10">
        <f>+'2'!D1</f>
        <v>46144</v>
      </c>
      <c r="U42" s="56" t="str">
        <f>+'2'!A55</f>
        <v/>
      </c>
      <c r="V42" s="56">
        <f>+'2'!B55</f>
        <v>0</v>
      </c>
      <c r="W42" s="56">
        <f>+'2'!C55</f>
        <v>0</v>
      </c>
      <c r="X42" s="56">
        <f>+'2'!D55</f>
        <v>0</v>
      </c>
      <c r="Y42" s="61">
        <f>+'2'!E55</f>
        <v>0</v>
      </c>
      <c r="AA42" s="10">
        <f>+'14'!D1</f>
        <v>46156</v>
      </c>
      <c r="AB42" s="56">
        <f>+'14'!D57</f>
        <v>0</v>
      </c>
      <c r="AC42" s="62">
        <f>+'14'!E57</f>
        <v>0</v>
      </c>
    </row>
    <row r="43" spans="2:29">
      <c r="B43" s="27" t="s">
        <v>124</v>
      </c>
      <c r="C43" s="28">
        <f t="shared" si="0"/>
        <v>0</v>
      </c>
      <c r="D43" s="29" t="str">
        <f>IF(ISERROR(C43/TOTAL!$C$3),"0%",C43/TOTAL!$C$3)</f>
        <v>0%</v>
      </c>
      <c r="E43" s="17"/>
      <c r="F43" s="10">
        <f>+'5'!D1</f>
        <v>46147</v>
      </c>
      <c r="G43" s="11" t="str">
        <f>+'5'!A3</f>
        <v/>
      </c>
      <c r="H43" s="11">
        <f>+'5'!B3</f>
        <v>0</v>
      </c>
      <c r="I43" s="11">
        <f>+'5'!C3</f>
        <v>0</v>
      </c>
      <c r="J43" s="11">
        <f>+'5'!D3</f>
        <v>0</v>
      </c>
      <c r="K43" s="13">
        <f>+'5'!E3</f>
        <v>0</v>
      </c>
      <c r="M43" s="10">
        <f>+'4'!D1</f>
        <v>46146</v>
      </c>
      <c r="N43" s="11" t="str">
        <f>+'4'!A27</f>
        <v/>
      </c>
      <c r="O43" s="11">
        <f>+'4'!B27</f>
        <v>0</v>
      </c>
      <c r="P43" s="11">
        <f>+'4'!C27</f>
        <v>0</v>
      </c>
      <c r="Q43" s="11">
        <f>+'4'!D27</f>
        <v>0</v>
      </c>
      <c r="R43" s="13">
        <f>+'4'!E27</f>
        <v>0</v>
      </c>
      <c r="T43" s="10">
        <f>+'3'!D1</f>
        <v>46145</v>
      </c>
      <c r="U43" s="56" t="str">
        <f>+'3'!A36</f>
        <v/>
      </c>
      <c r="V43" s="56">
        <f>+'3'!B36</f>
        <v>0</v>
      </c>
      <c r="W43" s="56">
        <f>+'3'!C36</f>
        <v>0</v>
      </c>
      <c r="X43" s="56">
        <f>+'3'!D36</f>
        <v>0</v>
      </c>
      <c r="Y43" s="61">
        <f>+'3'!E36</f>
        <v>0</v>
      </c>
      <c r="AA43" s="10">
        <f>+'14'!D1</f>
        <v>46156</v>
      </c>
      <c r="AB43" s="56">
        <f>+'14'!D58</f>
        <v>0</v>
      </c>
      <c r="AC43" s="62">
        <f>+'14'!E58</f>
        <v>0</v>
      </c>
    </row>
    <row r="44" spans="2:29">
      <c r="B44" s="27" t="s">
        <v>125</v>
      </c>
      <c r="C44" s="28">
        <f t="shared" ref="C44:C61" si="1">SUMIF(I:I,B44,K:K)+SUMIF(P:P,B44,R:R)+SUMIF(W:W,B44,Y:Y)</f>
        <v>0</v>
      </c>
      <c r="D44" s="29" t="str">
        <f>IF(ISERROR(C44/TOTAL!$C$3),"0%",C44/TOTAL!$C$3)</f>
        <v>0%</v>
      </c>
      <c r="E44" s="17"/>
      <c r="F44" s="10">
        <f>+'5'!D1</f>
        <v>46147</v>
      </c>
      <c r="G44" s="11" t="str">
        <f>+'5'!A4</f>
        <v/>
      </c>
      <c r="H44" s="11">
        <f>+'5'!B4</f>
        <v>0</v>
      </c>
      <c r="I44" s="11">
        <f>+'5'!C4</f>
        <v>0</v>
      </c>
      <c r="J44" s="11">
        <f>+'5'!D4</f>
        <v>0</v>
      </c>
      <c r="K44" s="13">
        <f>+'5'!E4</f>
        <v>0</v>
      </c>
      <c r="M44" s="10">
        <f>+'4'!D1</f>
        <v>46146</v>
      </c>
      <c r="N44" s="11" t="str">
        <f>+'4'!A28</f>
        <v/>
      </c>
      <c r="O44" s="11">
        <f>+'4'!B28</f>
        <v>0</v>
      </c>
      <c r="P44" s="11">
        <f>+'4'!C28</f>
        <v>0</v>
      </c>
      <c r="Q44" s="11">
        <f>+'4'!D28</f>
        <v>0</v>
      </c>
      <c r="R44" s="13">
        <f>+'4'!E28</f>
        <v>0</v>
      </c>
      <c r="T44" s="10">
        <f>+'3'!D1</f>
        <v>46145</v>
      </c>
      <c r="U44" s="56" t="str">
        <f>+'3'!A37</f>
        <v/>
      </c>
      <c r="V44" s="56">
        <f>+'3'!B37</f>
        <v>0</v>
      </c>
      <c r="W44" s="56">
        <f>+'3'!C37</f>
        <v>0</v>
      </c>
      <c r="X44" s="56">
        <f>+'3'!D37</f>
        <v>0</v>
      </c>
      <c r="Y44" s="61">
        <f>+'3'!E37</f>
        <v>0</v>
      </c>
      <c r="AA44" s="10">
        <f>+'14'!D1</f>
        <v>46156</v>
      </c>
      <c r="AB44" s="56">
        <f>+'14'!D59</f>
        <v>0</v>
      </c>
      <c r="AC44" s="62">
        <f>+'14'!E59</f>
        <v>0</v>
      </c>
    </row>
    <row r="45" spans="2:29">
      <c r="B45" s="27" t="s">
        <v>126</v>
      </c>
      <c r="C45" s="28">
        <f t="shared" si="1"/>
        <v>0</v>
      </c>
      <c r="D45" s="29" t="str">
        <f>IF(ISERROR(C45/TOTAL!$C$3),"0%",C45/TOTAL!$C$3)</f>
        <v>0%</v>
      </c>
      <c r="E45" s="17"/>
      <c r="F45" s="10">
        <f>+'5'!D1</f>
        <v>46147</v>
      </c>
      <c r="G45" s="11" t="str">
        <f>+'5'!A5</f>
        <v/>
      </c>
      <c r="H45" s="11">
        <f>+'5'!B5</f>
        <v>0</v>
      </c>
      <c r="I45" s="11">
        <f>+'5'!C5</f>
        <v>0</v>
      </c>
      <c r="J45" s="11">
        <f>+'5'!D5</f>
        <v>0</v>
      </c>
      <c r="K45" s="13">
        <f>+'5'!E5</f>
        <v>0</v>
      </c>
      <c r="M45" s="10">
        <f>+'4'!D1</f>
        <v>46146</v>
      </c>
      <c r="N45" s="11" t="str">
        <f>+'4'!A29</f>
        <v/>
      </c>
      <c r="O45" s="11">
        <f>+'4'!B29</f>
        <v>0</v>
      </c>
      <c r="P45" s="11">
        <f>+'4'!C29</f>
        <v>0</v>
      </c>
      <c r="Q45" s="11">
        <f>+'4'!D29</f>
        <v>0</v>
      </c>
      <c r="R45" s="13">
        <f>+'4'!E29</f>
        <v>0</v>
      </c>
      <c r="T45" s="10">
        <f>+'3'!D1</f>
        <v>46145</v>
      </c>
      <c r="U45" s="56" t="str">
        <f>+'3'!A38</f>
        <v/>
      </c>
      <c r="V45" s="56">
        <f>+'3'!B38</f>
        <v>0</v>
      </c>
      <c r="W45" s="56">
        <f>+'3'!C38</f>
        <v>0</v>
      </c>
      <c r="X45" s="56">
        <f>+'3'!D38</f>
        <v>0</v>
      </c>
      <c r="Y45" s="61">
        <f>+'3'!E38</f>
        <v>0</v>
      </c>
      <c r="AA45" s="10">
        <f>+'15'!D1</f>
        <v>46157</v>
      </c>
      <c r="AB45" s="56">
        <f>+'15'!D57</f>
        <v>0</v>
      </c>
      <c r="AC45" s="62">
        <f>+'15'!E57</f>
        <v>0</v>
      </c>
    </row>
    <row r="46" spans="2:29">
      <c r="B46" s="27" t="s">
        <v>127</v>
      </c>
      <c r="C46" s="28">
        <f t="shared" si="1"/>
        <v>0</v>
      </c>
      <c r="D46" s="29" t="str">
        <f>IF(ISERROR(C46/TOTAL!$C$3),"0%",C46/TOTAL!$C$3)</f>
        <v>0%</v>
      </c>
      <c r="E46" s="17"/>
      <c r="F46" s="10">
        <f>+'5'!D1</f>
        <v>46147</v>
      </c>
      <c r="G46" s="11" t="str">
        <f>+'5'!A6</f>
        <v/>
      </c>
      <c r="H46" s="11">
        <f>+'5'!B6</f>
        <v>0</v>
      </c>
      <c r="I46" s="11">
        <f>+'5'!C6</f>
        <v>0</v>
      </c>
      <c r="J46" s="11">
        <f>+'5'!D6</f>
        <v>0</v>
      </c>
      <c r="K46" s="13">
        <f>+'5'!E6</f>
        <v>0</v>
      </c>
      <c r="M46" s="10">
        <f>+'4'!D1</f>
        <v>46146</v>
      </c>
      <c r="N46" s="11" t="str">
        <f>+'4'!A30</f>
        <v/>
      </c>
      <c r="O46" s="11">
        <f>+'4'!B30</f>
        <v>0</v>
      </c>
      <c r="P46" s="11">
        <f>+'4'!C30</f>
        <v>0</v>
      </c>
      <c r="Q46" s="11">
        <f>+'4'!D30</f>
        <v>0</v>
      </c>
      <c r="R46" s="13">
        <f>+'4'!E30</f>
        <v>0</v>
      </c>
      <c r="T46" s="10">
        <f>+'3'!D1</f>
        <v>46145</v>
      </c>
      <c r="U46" s="56" t="str">
        <f>+'3'!A39</f>
        <v/>
      </c>
      <c r="V46" s="56">
        <f>+'3'!B39</f>
        <v>0</v>
      </c>
      <c r="W46" s="56">
        <f>+'3'!C39</f>
        <v>0</v>
      </c>
      <c r="X46" s="56">
        <f>+'3'!D39</f>
        <v>0</v>
      </c>
      <c r="Y46" s="61">
        <f>+'3'!E39</f>
        <v>0</v>
      </c>
      <c r="AA46" s="10">
        <f>+'15'!D1</f>
        <v>46157</v>
      </c>
      <c r="AB46" s="56">
        <f>+'15'!D58</f>
        <v>0</v>
      </c>
      <c r="AC46" s="62">
        <f>+'15'!E58</f>
        <v>0</v>
      </c>
    </row>
    <row r="47" spans="2:29">
      <c r="B47" s="27" t="s">
        <v>128</v>
      </c>
      <c r="C47" s="28">
        <f t="shared" si="1"/>
        <v>0</v>
      </c>
      <c r="D47" s="29" t="str">
        <f>IF(ISERROR(C47/TOTAL!$C$3),"0%",C47/TOTAL!$C$3)</f>
        <v>0%</v>
      </c>
      <c r="E47" s="17"/>
      <c r="F47" s="10">
        <f>+'5'!D1</f>
        <v>46147</v>
      </c>
      <c r="G47" s="11" t="str">
        <f>+'5'!A7</f>
        <v/>
      </c>
      <c r="H47" s="11">
        <f>+'5'!B7</f>
        <v>0</v>
      </c>
      <c r="I47" s="11">
        <f>+'5'!C7</f>
        <v>0</v>
      </c>
      <c r="J47" s="11">
        <f>+'5'!D7</f>
        <v>0</v>
      </c>
      <c r="K47" s="13">
        <f>+'5'!E7</f>
        <v>0</v>
      </c>
      <c r="M47" s="10">
        <f>+'4'!D1</f>
        <v>46146</v>
      </c>
      <c r="N47" s="11" t="str">
        <f>+'4'!A31</f>
        <v/>
      </c>
      <c r="O47" s="11">
        <f>+'4'!B31</f>
        <v>0</v>
      </c>
      <c r="P47" s="11">
        <f>+'4'!C31</f>
        <v>0</v>
      </c>
      <c r="Q47" s="11">
        <f>+'4'!D31</f>
        <v>0</v>
      </c>
      <c r="R47" s="13">
        <f>+'4'!E31</f>
        <v>0</v>
      </c>
      <c r="T47" s="10">
        <f>+'3'!D1</f>
        <v>46145</v>
      </c>
      <c r="U47" s="56" t="str">
        <f>+'3'!A40</f>
        <v/>
      </c>
      <c r="V47" s="56">
        <f>+'3'!B40</f>
        <v>0</v>
      </c>
      <c r="W47" s="56">
        <f>+'3'!C40</f>
        <v>0</v>
      </c>
      <c r="X47" s="56">
        <f>+'3'!D40</f>
        <v>0</v>
      </c>
      <c r="Y47" s="61">
        <f>+'3'!E40</f>
        <v>0</v>
      </c>
      <c r="AA47" s="10">
        <f>+'15'!D1</f>
        <v>46157</v>
      </c>
      <c r="AB47" s="56">
        <f>+'15'!D59</f>
        <v>0</v>
      </c>
      <c r="AC47" s="62">
        <f>+'15'!E59</f>
        <v>0</v>
      </c>
    </row>
    <row r="48" spans="2:29">
      <c r="B48" s="27" t="s">
        <v>129</v>
      </c>
      <c r="C48" s="28">
        <f t="shared" si="1"/>
        <v>0</v>
      </c>
      <c r="D48" s="29" t="str">
        <f>IF(ISERROR(C48/TOTAL!$C$3),"0%",C48/TOTAL!$C$3)</f>
        <v>0%</v>
      </c>
      <c r="E48" s="17"/>
      <c r="F48" s="10">
        <f>+'5'!D1</f>
        <v>46147</v>
      </c>
      <c r="G48" s="11" t="str">
        <f>+'5'!A8</f>
        <v/>
      </c>
      <c r="H48" s="11">
        <f>+'5'!B8</f>
        <v>0</v>
      </c>
      <c r="I48" s="11">
        <f>+'5'!C8</f>
        <v>0</v>
      </c>
      <c r="J48" s="11">
        <f>+'5'!D8</f>
        <v>0</v>
      </c>
      <c r="K48" s="13">
        <f>+'5'!E8</f>
        <v>0</v>
      </c>
      <c r="M48" s="10">
        <f>+'4'!D1</f>
        <v>46146</v>
      </c>
      <c r="N48" s="11" t="str">
        <f>+'4'!A32</f>
        <v/>
      </c>
      <c r="O48" s="11">
        <f>+'4'!B32</f>
        <v>0</v>
      </c>
      <c r="P48" s="11">
        <f>+'4'!C32</f>
        <v>0</v>
      </c>
      <c r="Q48" s="11">
        <f>+'4'!D32</f>
        <v>0</v>
      </c>
      <c r="R48" s="13">
        <f>+'4'!E32</f>
        <v>0</v>
      </c>
      <c r="T48" s="10">
        <f>+'3'!D1</f>
        <v>46145</v>
      </c>
      <c r="U48" s="56" t="str">
        <f>+'3'!A41</f>
        <v/>
      </c>
      <c r="V48" s="56">
        <f>+'3'!B41</f>
        <v>0</v>
      </c>
      <c r="W48" s="56">
        <f>+'3'!C41</f>
        <v>0</v>
      </c>
      <c r="X48" s="56">
        <f>+'3'!D41</f>
        <v>0</v>
      </c>
      <c r="Y48" s="61">
        <f>+'3'!E41</f>
        <v>0</v>
      </c>
      <c r="AA48" s="10">
        <f>+'16'!D1</f>
        <v>46158</v>
      </c>
      <c r="AB48" s="56">
        <f>+'16'!D57</f>
        <v>0</v>
      </c>
      <c r="AC48" s="62">
        <f>+'16'!E57</f>
        <v>0</v>
      </c>
    </row>
    <row r="49" spans="2:29">
      <c r="B49" s="27" t="s">
        <v>130</v>
      </c>
      <c r="C49" s="28">
        <f t="shared" si="1"/>
        <v>0</v>
      </c>
      <c r="D49" s="29" t="str">
        <f>IF(ISERROR(C49/TOTAL!$C$3),"0%",C49/TOTAL!$C$3)</f>
        <v>0%</v>
      </c>
      <c r="E49" s="17"/>
      <c r="F49" s="10">
        <f>+'5'!D1</f>
        <v>46147</v>
      </c>
      <c r="G49" s="11" t="str">
        <f>+'5'!A9</f>
        <v/>
      </c>
      <c r="H49" s="11">
        <f>+'5'!B9</f>
        <v>0</v>
      </c>
      <c r="I49" s="11">
        <f>+'5'!C9</f>
        <v>0</v>
      </c>
      <c r="J49" s="11" t="str">
        <f>+'5'!D9</f>
        <v> </v>
      </c>
      <c r="K49" s="13">
        <f>+'5'!E9</f>
        <v>0</v>
      </c>
      <c r="M49" s="10">
        <f>+'4'!D1</f>
        <v>46146</v>
      </c>
      <c r="N49" s="11" t="str">
        <f>+'4'!A33</f>
        <v/>
      </c>
      <c r="O49" s="11">
        <f>+'4'!B33</f>
        <v>0</v>
      </c>
      <c r="P49" s="11">
        <f>+'4'!C33</f>
        <v>0</v>
      </c>
      <c r="Q49" s="11">
        <f>+'4'!D33</f>
        <v>0</v>
      </c>
      <c r="R49" s="13">
        <f>+'4'!E33</f>
        <v>0</v>
      </c>
      <c r="T49" s="10">
        <f>+'3'!D1</f>
        <v>46145</v>
      </c>
      <c r="U49" s="56" t="str">
        <f>+'3'!A42</f>
        <v/>
      </c>
      <c r="V49" s="56">
        <f>+'3'!B42</f>
        <v>0</v>
      </c>
      <c r="W49" s="56">
        <f>+'3'!C42</f>
        <v>0</v>
      </c>
      <c r="X49" s="56">
        <f>+'3'!D42</f>
        <v>0</v>
      </c>
      <c r="Y49" s="61">
        <f>+'3'!E42</f>
        <v>0</v>
      </c>
      <c r="AA49" s="10">
        <f>+'16'!D1</f>
        <v>46158</v>
      </c>
      <c r="AB49" s="56">
        <f>+'16'!D58</f>
        <v>0</v>
      </c>
      <c r="AC49" s="62">
        <f>+'16'!E58</f>
        <v>0</v>
      </c>
    </row>
    <row r="50" spans="2:29">
      <c r="B50" s="27" t="s">
        <v>131</v>
      </c>
      <c r="C50" s="28">
        <f t="shared" si="1"/>
        <v>0</v>
      </c>
      <c r="D50" s="29" t="str">
        <f>IF(ISERROR(C50/TOTAL!$C$3),"0%",C50/TOTAL!$C$3)</f>
        <v>0%</v>
      </c>
      <c r="E50" s="17"/>
      <c r="F50" s="10">
        <f>+'5'!D1</f>
        <v>46147</v>
      </c>
      <c r="G50" s="11" t="str">
        <f>+'5'!A10</f>
        <v/>
      </c>
      <c r="H50" s="11">
        <f>+'5'!B10</f>
        <v>0</v>
      </c>
      <c r="I50" s="11">
        <f>+'5'!C10</f>
        <v>0</v>
      </c>
      <c r="J50" s="11">
        <f>+'5'!D10</f>
        <v>0</v>
      </c>
      <c r="K50" s="13">
        <f>+'5'!E10</f>
        <v>0</v>
      </c>
      <c r="M50" s="10">
        <f>+'4'!D1</f>
        <v>46146</v>
      </c>
      <c r="N50" s="11" t="str">
        <f>+'4'!A34</f>
        <v/>
      </c>
      <c r="O50" s="11">
        <f>+'4'!B34</f>
        <v>0</v>
      </c>
      <c r="P50" s="11">
        <f>+'4'!C34</f>
        <v>0</v>
      </c>
      <c r="Q50" s="11">
        <f>+'4'!D34</f>
        <v>0</v>
      </c>
      <c r="R50" s="13">
        <f>+'4'!E34</f>
        <v>0</v>
      </c>
      <c r="T50" s="10">
        <f>+'3'!D1</f>
        <v>46145</v>
      </c>
      <c r="U50" s="56" t="str">
        <f>+'3'!A43</f>
        <v/>
      </c>
      <c r="V50" s="56">
        <f>+'3'!B43</f>
        <v>0</v>
      </c>
      <c r="W50" s="56">
        <f>+'3'!C43</f>
        <v>0</v>
      </c>
      <c r="X50" s="56">
        <f>+'3'!D43</f>
        <v>0</v>
      </c>
      <c r="Y50" s="61">
        <f>+'3'!E43</f>
        <v>0</v>
      </c>
      <c r="AA50" s="10">
        <f>+'16'!D1</f>
        <v>46158</v>
      </c>
      <c r="AB50" s="56">
        <f>+'16'!D59</f>
        <v>0</v>
      </c>
      <c r="AC50" s="62">
        <f>+'16'!E59</f>
        <v>0</v>
      </c>
    </row>
    <row r="51" spans="2:29">
      <c r="B51" s="27" t="s">
        <v>132</v>
      </c>
      <c r="C51" s="28">
        <f t="shared" si="1"/>
        <v>0</v>
      </c>
      <c r="D51" s="29" t="str">
        <f>IF(ISERROR(C51/TOTAL!$C$3),"0%",C51/TOTAL!$C$3)</f>
        <v>0%</v>
      </c>
      <c r="E51" s="17"/>
      <c r="F51" s="10">
        <f>+'5'!D1</f>
        <v>46147</v>
      </c>
      <c r="G51" s="11" t="str">
        <f>+'5'!A11</f>
        <v/>
      </c>
      <c r="H51" s="11">
        <f>+'5'!B11</f>
        <v>0</v>
      </c>
      <c r="I51" s="11">
        <f>+'5'!C11</f>
        <v>0</v>
      </c>
      <c r="J51" s="11">
        <f>+'5'!D11</f>
        <v>0</v>
      </c>
      <c r="K51" s="13">
        <f>+'5'!E11</f>
        <v>0</v>
      </c>
      <c r="M51" s="10">
        <f>+'5'!D1</f>
        <v>46147</v>
      </c>
      <c r="N51" s="11" t="str">
        <f>+'5'!A23</f>
        <v/>
      </c>
      <c r="O51" s="11">
        <f>+'5'!B23</f>
        <v>0</v>
      </c>
      <c r="P51" s="11">
        <f>+'5'!C23</f>
        <v>0</v>
      </c>
      <c r="Q51" s="11">
        <f>+'5'!D23</f>
        <v>0</v>
      </c>
      <c r="R51" s="13">
        <f>+'5'!E23</f>
        <v>0</v>
      </c>
      <c r="T51" s="10">
        <f>+'3'!D1</f>
        <v>46145</v>
      </c>
      <c r="U51" s="56" t="str">
        <f>+'3'!A44</f>
        <v/>
      </c>
      <c r="V51" s="56">
        <f>+'3'!B44</f>
        <v>0</v>
      </c>
      <c r="W51" s="56">
        <f>+'3'!C44</f>
        <v>0</v>
      </c>
      <c r="X51" s="56">
        <f>+'3'!D44</f>
        <v>0</v>
      </c>
      <c r="Y51" s="61">
        <f>+'3'!E44</f>
        <v>0</v>
      </c>
      <c r="AA51" s="10">
        <f>+'17'!D1</f>
        <v>46159</v>
      </c>
      <c r="AB51" s="56">
        <f>+'17'!D57</f>
        <v>0</v>
      </c>
      <c r="AC51" s="62">
        <f>+'17'!E57</f>
        <v>0</v>
      </c>
    </row>
    <row r="52" spans="2:29">
      <c r="B52" s="27" t="s">
        <v>133</v>
      </c>
      <c r="C52" s="28">
        <f t="shared" si="1"/>
        <v>0</v>
      </c>
      <c r="D52" s="29" t="str">
        <f>IF(ISERROR(C52/TOTAL!$C$3),"0%",C52/TOTAL!$C$3)</f>
        <v>0%</v>
      </c>
      <c r="E52" s="17"/>
      <c r="F52" s="10">
        <f>+'5'!D1</f>
        <v>46147</v>
      </c>
      <c r="G52" s="11" t="str">
        <f>+'5'!A12</f>
        <v/>
      </c>
      <c r="H52" s="11">
        <f>+'5'!B12</f>
        <v>0</v>
      </c>
      <c r="I52" s="11">
        <f>+'5'!C12</f>
        <v>0</v>
      </c>
      <c r="J52" s="11">
        <f>+'5'!D12</f>
        <v>0</v>
      </c>
      <c r="K52" s="13">
        <f>+'5'!E12</f>
        <v>0</v>
      </c>
      <c r="M52" s="10">
        <f>+'5'!D1</f>
        <v>46147</v>
      </c>
      <c r="N52" s="11" t="str">
        <f>+'5'!A24</f>
        <v/>
      </c>
      <c r="O52" s="11">
        <f>+'5'!B24</f>
        <v>0</v>
      </c>
      <c r="P52" s="11">
        <f>+'5'!C24</f>
        <v>0</v>
      </c>
      <c r="Q52" s="11">
        <f>+'5'!D24</f>
        <v>0</v>
      </c>
      <c r="R52" s="13">
        <f>+'5'!E24</f>
        <v>0</v>
      </c>
      <c r="T52" s="10">
        <f>+'3'!D1</f>
        <v>46145</v>
      </c>
      <c r="U52" s="56" t="str">
        <f>+'3'!A45</f>
        <v/>
      </c>
      <c r="V52" s="56">
        <f>+'3'!B45</f>
        <v>0</v>
      </c>
      <c r="W52" s="56">
        <f>+'3'!C45</f>
        <v>0</v>
      </c>
      <c r="X52" s="56">
        <f>+'3'!D45</f>
        <v>0</v>
      </c>
      <c r="Y52" s="61">
        <f>+'3'!E45</f>
        <v>0</v>
      </c>
      <c r="AA52" s="10">
        <f>+'17'!D1</f>
        <v>46159</v>
      </c>
      <c r="AB52" s="56">
        <f>+'17'!D58</f>
        <v>0</v>
      </c>
      <c r="AC52" s="62">
        <f>+'17'!E58</f>
        <v>0</v>
      </c>
    </row>
    <row r="53" spans="2:29">
      <c r="B53" s="27" t="s">
        <v>134</v>
      </c>
      <c r="C53" s="28">
        <f t="shared" si="1"/>
        <v>0</v>
      </c>
      <c r="D53" s="29" t="str">
        <f>IF(ISERROR(C53/TOTAL!$C$3),"0%",C53/TOTAL!$C$3)</f>
        <v>0%</v>
      </c>
      <c r="E53" s="17"/>
      <c r="F53" s="10">
        <f>+'6'!D1</f>
        <v>46148</v>
      </c>
      <c r="G53" s="11" t="str">
        <f>+'6'!A3</f>
        <v/>
      </c>
      <c r="H53" s="11">
        <f>+'6'!B3</f>
        <v>0</v>
      </c>
      <c r="I53" s="11">
        <f>+'6'!C3</f>
        <v>0</v>
      </c>
      <c r="J53" s="11">
        <f>+'6'!D3</f>
        <v>0</v>
      </c>
      <c r="K53" s="13">
        <f>+'6'!E3</f>
        <v>0</v>
      </c>
      <c r="M53" s="10">
        <f>+'5'!D1</f>
        <v>46147</v>
      </c>
      <c r="N53" s="11" t="str">
        <f>+'5'!A25</f>
        <v/>
      </c>
      <c r="O53" s="11">
        <f>+'5'!B25</f>
        <v>0</v>
      </c>
      <c r="P53" s="11">
        <f>+'5'!C25</f>
        <v>0</v>
      </c>
      <c r="Q53" s="11">
        <f>+'5'!D25</f>
        <v>0</v>
      </c>
      <c r="R53" s="13">
        <f>+'5'!E25</f>
        <v>0</v>
      </c>
      <c r="T53" s="10">
        <f>+'3'!D1</f>
        <v>46145</v>
      </c>
      <c r="U53" s="56" t="str">
        <f>+'3'!A46</f>
        <v/>
      </c>
      <c r="V53" s="56">
        <f>+'3'!B46</f>
        <v>0</v>
      </c>
      <c r="W53" s="56">
        <f>+'3'!C46</f>
        <v>0</v>
      </c>
      <c r="X53" s="56">
        <f>+'3'!D46</f>
        <v>0</v>
      </c>
      <c r="Y53" s="61">
        <f>+'3'!E46</f>
        <v>0</v>
      </c>
      <c r="AA53" s="10">
        <f>+'17'!D1</f>
        <v>46159</v>
      </c>
      <c r="AB53" s="56">
        <f>+'17'!D59</f>
        <v>0</v>
      </c>
      <c r="AC53" s="62">
        <f>+'17'!E59</f>
        <v>0</v>
      </c>
    </row>
    <row r="54" spans="2:29">
      <c r="B54" s="27">
        <v>1</v>
      </c>
      <c r="C54" s="28">
        <f t="shared" si="1"/>
        <v>0</v>
      </c>
      <c r="D54" s="29" t="str">
        <f>IF(ISERROR(C54/TOTAL!$C$3),"0%",C54/TOTAL!$C$3)</f>
        <v>0%</v>
      </c>
      <c r="E54" s="17"/>
      <c r="F54" s="10">
        <f>+'6'!D1</f>
        <v>46148</v>
      </c>
      <c r="G54" s="11" t="str">
        <f>+'6'!A4</f>
        <v/>
      </c>
      <c r="H54" s="11">
        <f>+'6'!B4</f>
        <v>0</v>
      </c>
      <c r="I54" s="11">
        <f>+'6'!C4</f>
        <v>0</v>
      </c>
      <c r="J54" s="11">
        <f>+'6'!D4</f>
        <v>0</v>
      </c>
      <c r="K54" s="13">
        <f>+'6'!E4</f>
        <v>0</v>
      </c>
      <c r="M54" s="10">
        <f>+'5'!D1</f>
        <v>46147</v>
      </c>
      <c r="N54" s="11" t="str">
        <f>+'5'!A26</f>
        <v/>
      </c>
      <c r="O54" s="11">
        <f>+'5'!B26</f>
        <v>0</v>
      </c>
      <c r="P54" s="11">
        <f>+'5'!C26</f>
        <v>0</v>
      </c>
      <c r="Q54" s="11">
        <f>+'5'!D26</f>
        <v>0</v>
      </c>
      <c r="R54" s="13">
        <f>+'5'!E26</f>
        <v>0</v>
      </c>
      <c r="T54" s="10">
        <f>+'3'!D1</f>
        <v>46145</v>
      </c>
      <c r="U54" s="56" t="str">
        <f>+'3'!A47</f>
        <v/>
      </c>
      <c r="V54" s="56">
        <f>+'3'!B47</f>
        <v>0</v>
      </c>
      <c r="W54" s="56">
        <f>+'3'!C47</f>
        <v>0</v>
      </c>
      <c r="X54" s="56">
        <f>+'3'!D47</f>
        <v>0</v>
      </c>
      <c r="Y54" s="61">
        <f>+'3'!E47</f>
        <v>0</v>
      </c>
      <c r="AA54" s="10">
        <f>+'18'!D1</f>
        <v>46160</v>
      </c>
      <c r="AB54" s="56">
        <f>+'18'!D57</f>
        <v>0</v>
      </c>
      <c r="AC54" s="62">
        <f>+'18'!E57</f>
        <v>0</v>
      </c>
    </row>
    <row r="55" spans="2:29">
      <c r="B55" s="27">
        <v>2</v>
      </c>
      <c r="C55" s="28">
        <f t="shared" si="1"/>
        <v>0</v>
      </c>
      <c r="D55" s="29" t="str">
        <f>IF(ISERROR(C55/TOTAL!$C$3),"0%",C55/TOTAL!$C$3)</f>
        <v>0%</v>
      </c>
      <c r="E55" s="17"/>
      <c r="F55" s="10">
        <f>+'6'!D1</f>
        <v>46148</v>
      </c>
      <c r="G55" s="11" t="str">
        <f>+'6'!A5</f>
        <v/>
      </c>
      <c r="H55" s="11">
        <f>+'6'!B5</f>
        <v>0</v>
      </c>
      <c r="I55" s="11">
        <f>+'6'!C5</f>
        <v>0</v>
      </c>
      <c r="J55" s="11">
        <f>+'6'!D5</f>
        <v>0</v>
      </c>
      <c r="K55" s="13">
        <f>+'6'!E5</f>
        <v>0</v>
      </c>
      <c r="M55" s="10">
        <f>+'5'!D1</f>
        <v>46147</v>
      </c>
      <c r="N55" s="11" t="str">
        <f>+'5'!A27</f>
        <v/>
      </c>
      <c r="O55" s="11">
        <f>+'5'!B27</f>
        <v>0</v>
      </c>
      <c r="P55" s="11">
        <f>+'5'!C27</f>
        <v>0</v>
      </c>
      <c r="Q55" s="11">
        <f>+'5'!D27</f>
        <v>0</v>
      </c>
      <c r="R55" s="13">
        <f>+'5'!E27</f>
        <v>0</v>
      </c>
      <c r="T55" s="10">
        <f>+'3'!D1</f>
        <v>46145</v>
      </c>
      <c r="U55" s="56" t="str">
        <f>+'3'!A48</f>
        <v/>
      </c>
      <c r="V55" s="56">
        <f>+'3'!B48</f>
        <v>0</v>
      </c>
      <c r="W55" s="56">
        <f>+'3'!C48</f>
        <v>0</v>
      </c>
      <c r="X55" s="56">
        <f>+'3'!D48</f>
        <v>0</v>
      </c>
      <c r="Y55" s="61">
        <f>+'3'!E48</f>
        <v>0</v>
      </c>
      <c r="AA55" s="10">
        <f>+'18'!D1</f>
        <v>46160</v>
      </c>
      <c r="AB55" s="56">
        <f>+'18'!D58</f>
        <v>0</v>
      </c>
      <c r="AC55" s="62">
        <f>+'18'!E58</f>
        <v>0</v>
      </c>
    </row>
    <row r="56" spans="2:29">
      <c r="B56" s="27">
        <v>3</v>
      </c>
      <c r="C56" s="28">
        <f t="shared" si="1"/>
        <v>0</v>
      </c>
      <c r="D56" s="29" t="str">
        <f>IF(ISERROR(C56/TOTAL!$C$3),"0%",C56/TOTAL!$C$3)</f>
        <v>0%</v>
      </c>
      <c r="E56" s="17"/>
      <c r="F56" s="10">
        <f>+'6'!D1</f>
        <v>46148</v>
      </c>
      <c r="G56" s="11" t="str">
        <f>+'6'!A6</f>
        <v/>
      </c>
      <c r="H56" s="11">
        <f>+'6'!B6</f>
        <v>0</v>
      </c>
      <c r="I56" s="11">
        <f>+'6'!C6</f>
        <v>0</v>
      </c>
      <c r="J56" s="11">
        <f>+'6'!D6</f>
        <v>0</v>
      </c>
      <c r="K56" s="13">
        <f>+'6'!E6</f>
        <v>0</v>
      </c>
      <c r="M56" s="10">
        <f>+'5'!D1</f>
        <v>46147</v>
      </c>
      <c r="N56" s="11" t="str">
        <f>+'5'!A28</f>
        <v/>
      </c>
      <c r="O56" s="11">
        <f>+'5'!B28</f>
        <v>0</v>
      </c>
      <c r="P56" s="11">
        <f>+'5'!C28</f>
        <v>0</v>
      </c>
      <c r="Q56" s="11">
        <f>+'5'!D28</f>
        <v>0</v>
      </c>
      <c r="R56" s="13">
        <f>+'5'!E28</f>
        <v>0</v>
      </c>
      <c r="T56" s="10">
        <f>+'3'!D1</f>
        <v>46145</v>
      </c>
      <c r="U56" s="56" t="str">
        <f>+'3'!A49</f>
        <v/>
      </c>
      <c r="V56" s="56">
        <f>+'3'!B49</f>
        <v>0</v>
      </c>
      <c r="W56" s="56">
        <f>+'3'!C49</f>
        <v>0</v>
      </c>
      <c r="X56" s="56">
        <f>+'3'!D49</f>
        <v>0</v>
      </c>
      <c r="Y56" s="61">
        <f>+'3'!E49</f>
        <v>0</v>
      </c>
      <c r="AA56" s="10">
        <f>+'18'!D1</f>
        <v>46160</v>
      </c>
      <c r="AB56" s="56">
        <f>+'18'!D59</f>
        <v>0</v>
      </c>
      <c r="AC56" s="62">
        <f>+'18'!E59</f>
        <v>0</v>
      </c>
    </row>
    <row r="57" spans="2:29">
      <c r="B57" s="27">
        <v>4</v>
      </c>
      <c r="C57" s="28">
        <f t="shared" si="1"/>
        <v>0</v>
      </c>
      <c r="D57" s="29" t="str">
        <f>IF(ISERROR(C57/TOTAL!$C$3),"0%",C57/TOTAL!$C$3)</f>
        <v>0%</v>
      </c>
      <c r="E57" s="17"/>
      <c r="F57" s="10">
        <f>+'6'!D1</f>
        <v>46148</v>
      </c>
      <c r="G57" s="11" t="str">
        <f>+'6'!A7</f>
        <v/>
      </c>
      <c r="H57" s="11">
        <f>+'6'!B7</f>
        <v>0</v>
      </c>
      <c r="I57" s="11">
        <f>+'6'!C7</f>
        <v>0</v>
      </c>
      <c r="J57" s="11">
        <f>+'6'!D7</f>
        <v>0</v>
      </c>
      <c r="K57" s="13">
        <f>+'6'!E7</f>
        <v>0</v>
      </c>
      <c r="M57" s="10">
        <f>+'5'!D1</f>
        <v>46147</v>
      </c>
      <c r="N57" s="11" t="str">
        <f>+'5'!A29</f>
        <v/>
      </c>
      <c r="O57" s="11">
        <f>+'5'!B29</f>
        <v>0</v>
      </c>
      <c r="P57" s="11">
        <f>+'5'!C29</f>
        <v>0</v>
      </c>
      <c r="Q57" s="11">
        <f>+'5'!D29</f>
        <v>0</v>
      </c>
      <c r="R57" s="13">
        <f>+'5'!E29</f>
        <v>0</v>
      </c>
      <c r="T57" s="10">
        <f>+'3'!D1</f>
        <v>46145</v>
      </c>
      <c r="U57" s="56" t="str">
        <f>+'3'!A50</f>
        <v/>
      </c>
      <c r="V57" s="56">
        <f>+'3'!B50</f>
        <v>0</v>
      </c>
      <c r="W57" s="56">
        <f>+'3'!C50</f>
        <v>0</v>
      </c>
      <c r="X57" s="56">
        <f>+'3'!D50</f>
        <v>0</v>
      </c>
      <c r="Y57" s="61">
        <f>+'3'!E50</f>
        <v>0</v>
      </c>
      <c r="AA57" s="10">
        <f>+'19'!D1</f>
        <v>46161</v>
      </c>
      <c r="AB57" s="56">
        <f>+'19'!D57</f>
        <v>0</v>
      </c>
      <c r="AC57" s="62">
        <f>+'19'!E57</f>
        <v>0</v>
      </c>
    </row>
    <row r="58" spans="2:29">
      <c r="B58" s="27">
        <v>5</v>
      </c>
      <c r="C58" s="28">
        <f t="shared" si="1"/>
        <v>0</v>
      </c>
      <c r="D58" s="29" t="str">
        <f>IF(ISERROR(C58/TOTAL!$C$3),"0%",C58/TOTAL!$C$3)</f>
        <v>0%</v>
      </c>
      <c r="E58" s="17"/>
      <c r="F58" s="10">
        <f>+'6'!D1</f>
        <v>46148</v>
      </c>
      <c r="G58" s="11" t="str">
        <f>+'6'!A8</f>
        <v/>
      </c>
      <c r="H58" s="11">
        <f>+'6'!B8</f>
        <v>0</v>
      </c>
      <c r="I58" s="11">
        <f>+'6'!C8</f>
        <v>0</v>
      </c>
      <c r="J58" s="11">
        <f>+'6'!D8</f>
        <v>0</v>
      </c>
      <c r="K58" s="13">
        <f>+'6'!E8</f>
        <v>0</v>
      </c>
      <c r="M58" s="10">
        <f>+'5'!D1</f>
        <v>46147</v>
      </c>
      <c r="N58" s="11" t="str">
        <f>+'5'!A30</f>
        <v/>
      </c>
      <c r="O58" s="11">
        <f>+'5'!B30</f>
        <v>0</v>
      </c>
      <c r="P58" s="11">
        <f>+'5'!C30</f>
        <v>0</v>
      </c>
      <c r="Q58" s="11">
        <f>+'5'!D30</f>
        <v>0</v>
      </c>
      <c r="R58" s="13">
        <f>+'5'!E30</f>
        <v>0</v>
      </c>
      <c r="T58" s="10">
        <f>+'3'!D1</f>
        <v>46145</v>
      </c>
      <c r="U58" s="56" t="str">
        <f>+'3'!A51</f>
        <v/>
      </c>
      <c r="V58" s="56">
        <f>+'3'!B51</f>
        <v>0</v>
      </c>
      <c r="W58" s="56">
        <f>+'3'!C51</f>
        <v>0</v>
      </c>
      <c r="X58" s="56">
        <f>+'3'!D51</f>
        <v>0</v>
      </c>
      <c r="Y58" s="61">
        <f>+'3'!E51</f>
        <v>0</v>
      </c>
      <c r="AA58" s="10">
        <f>+'19'!D1</f>
        <v>46161</v>
      </c>
      <c r="AB58" s="56">
        <f>+'19'!D58</f>
        <v>0</v>
      </c>
      <c r="AC58" s="62">
        <f>+'19'!E58</f>
        <v>0</v>
      </c>
    </row>
    <row r="59" spans="2:29">
      <c r="B59" s="27">
        <v>6</v>
      </c>
      <c r="C59" s="28">
        <f t="shared" si="1"/>
        <v>0</v>
      </c>
      <c r="D59" s="29" t="str">
        <f>IF(ISERROR(C59/TOTAL!$C$3),"0%",C59/TOTAL!$C$3)</f>
        <v>0%</v>
      </c>
      <c r="E59" s="17"/>
      <c r="F59" s="10">
        <f>+'6'!D1</f>
        <v>46148</v>
      </c>
      <c r="G59" s="11" t="str">
        <f>+'6'!A9</f>
        <v/>
      </c>
      <c r="H59" s="11">
        <f>+'6'!B9</f>
        <v>0</v>
      </c>
      <c r="I59" s="11">
        <f>+'6'!C9</f>
        <v>0</v>
      </c>
      <c r="J59" s="11" t="str">
        <f>+'6'!D9</f>
        <v> </v>
      </c>
      <c r="K59" s="13">
        <f>+'6'!E9</f>
        <v>0</v>
      </c>
      <c r="M59" s="10">
        <f>+'5'!D1</f>
        <v>46147</v>
      </c>
      <c r="N59" s="11" t="str">
        <f>+'5'!A31</f>
        <v/>
      </c>
      <c r="O59" s="11">
        <f>+'5'!B31</f>
        <v>0</v>
      </c>
      <c r="P59" s="11">
        <f>+'5'!C31</f>
        <v>0</v>
      </c>
      <c r="Q59" s="11">
        <f>+'5'!D31</f>
        <v>0</v>
      </c>
      <c r="R59" s="13">
        <f>+'5'!E31</f>
        <v>0</v>
      </c>
      <c r="T59" s="10">
        <f>+'3'!D1</f>
        <v>46145</v>
      </c>
      <c r="U59" s="56" t="str">
        <f>+'3'!A52</f>
        <v/>
      </c>
      <c r="V59" s="56">
        <f>+'3'!B52</f>
        <v>0</v>
      </c>
      <c r="W59" s="56">
        <f>+'3'!C52</f>
        <v>0</v>
      </c>
      <c r="X59" s="56">
        <f>+'3'!D52</f>
        <v>0</v>
      </c>
      <c r="Y59" s="61">
        <f>+'3'!E52</f>
        <v>0</v>
      </c>
      <c r="AA59" s="10">
        <f>+'19'!D1</f>
        <v>46161</v>
      </c>
      <c r="AB59" s="56">
        <f>+'19'!D59</f>
        <v>0</v>
      </c>
      <c r="AC59" s="62">
        <f>+'19'!E59</f>
        <v>0</v>
      </c>
    </row>
    <row r="60" spans="2:29">
      <c r="B60" s="27" t="s">
        <v>135</v>
      </c>
      <c r="C60" s="28">
        <f t="shared" si="1"/>
        <v>0</v>
      </c>
      <c r="D60" s="29" t="str">
        <f>IF(ISERROR(C60/TOTAL!$C$3),"0%",C60/TOTAL!$C$3)</f>
        <v>0%</v>
      </c>
      <c r="F60" s="10">
        <f>+'6'!D1</f>
        <v>46148</v>
      </c>
      <c r="G60" s="11" t="str">
        <f>+'6'!A10</f>
        <v/>
      </c>
      <c r="H60" s="11">
        <f>+'6'!B10</f>
        <v>0</v>
      </c>
      <c r="I60" s="11">
        <f>+'6'!C10</f>
        <v>0</v>
      </c>
      <c r="J60" s="11">
        <f>+'6'!D10</f>
        <v>0</v>
      </c>
      <c r="K60" s="13">
        <f>+'6'!E10</f>
        <v>0</v>
      </c>
      <c r="M60" s="10">
        <f>+'5'!D1</f>
        <v>46147</v>
      </c>
      <c r="N60" s="11" t="str">
        <f>+'5'!A32</f>
        <v/>
      </c>
      <c r="O60" s="11">
        <f>+'5'!B32</f>
        <v>0</v>
      </c>
      <c r="P60" s="11">
        <f>+'5'!C32</f>
        <v>0</v>
      </c>
      <c r="Q60" s="11">
        <f>+'5'!D32</f>
        <v>0</v>
      </c>
      <c r="R60" s="13">
        <f>+'5'!E32</f>
        <v>0</v>
      </c>
      <c r="T60" s="10">
        <f>+'3'!D1</f>
        <v>46145</v>
      </c>
      <c r="U60" s="56" t="str">
        <f>+'3'!A53</f>
        <v/>
      </c>
      <c r="V60" s="56">
        <f>+'3'!B53</f>
        <v>0</v>
      </c>
      <c r="W60" s="56">
        <f>+'3'!C53</f>
        <v>0</v>
      </c>
      <c r="X60" s="56">
        <f>+'3'!D53</f>
        <v>0</v>
      </c>
      <c r="Y60" s="61">
        <f>+'3'!E53</f>
        <v>0</v>
      </c>
      <c r="AA60" s="10">
        <f>+'20'!D1</f>
        <v>46162</v>
      </c>
      <c r="AB60" s="56">
        <f>+'20'!D57</f>
        <v>0</v>
      </c>
      <c r="AC60" s="62">
        <f>+'20'!E57</f>
        <v>0</v>
      </c>
    </row>
    <row r="61" spans="2:29">
      <c r="B61" s="27" t="s">
        <v>136</v>
      </c>
      <c r="C61" s="28">
        <f t="shared" si="1"/>
        <v>0</v>
      </c>
      <c r="D61" s="29" t="str">
        <f>IF(ISERROR(C61/TOTAL!$C$3),"0%",C61/TOTAL!$C$3)</f>
        <v>0%</v>
      </c>
      <c r="F61" s="10">
        <f>+'6'!D1</f>
        <v>46148</v>
      </c>
      <c r="G61" s="11" t="str">
        <f>+'6'!A11</f>
        <v/>
      </c>
      <c r="H61" s="11">
        <f>+'6'!B11</f>
        <v>0</v>
      </c>
      <c r="I61" s="11">
        <f>+'6'!C11</f>
        <v>0</v>
      </c>
      <c r="J61" s="11">
        <f>+'6'!D11</f>
        <v>0</v>
      </c>
      <c r="K61" s="13">
        <f>+'6'!E11</f>
        <v>0</v>
      </c>
      <c r="M61" s="10">
        <f>+'5'!D1</f>
        <v>46147</v>
      </c>
      <c r="N61" s="11" t="str">
        <f>+'5'!A33</f>
        <v/>
      </c>
      <c r="O61" s="11">
        <f>+'5'!B33</f>
        <v>0</v>
      </c>
      <c r="P61" s="11">
        <f>+'5'!C33</f>
        <v>0</v>
      </c>
      <c r="Q61" s="11">
        <f>+'5'!D33</f>
        <v>0</v>
      </c>
      <c r="R61" s="13">
        <f>+'5'!E33</f>
        <v>0</v>
      </c>
      <c r="T61" s="10">
        <f>+'3'!D1</f>
        <v>46145</v>
      </c>
      <c r="U61" s="56" t="str">
        <f>+'3'!A54</f>
        <v/>
      </c>
      <c r="V61" s="56">
        <f>+'3'!B54</f>
        <v>0</v>
      </c>
      <c r="W61" s="56">
        <f>+'3'!C54</f>
        <v>0</v>
      </c>
      <c r="X61" s="56">
        <f>+'3'!D54</f>
        <v>0</v>
      </c>
      <c r="Y61" s="61">
        <f>+'3'!E54</f>
        <v>0</v>
      </c>
      <c r="AA61" s="10">
        <f>+'20'!D1</f>
        <v>46162</v>
      </c>
      <c r="AB61" s="56">
        <f>+'20'!D58</f>
        <v>0</v>
      </c>
      <c r="AC61" s="62">
        <f>+'20'!E58</f>
        <v>0</v>
      </c>
    </row>
    <row r="62" spans="2:29">
      <c r="B62" s="31" t="s">
        <v>137</v>
      </c>
      <c r="C62" s="32">
        <f>SUM(C3:C61)</f>
        <v>0</v>
      </c>
      <c r="D62" s="33" t="str">
        <f>IF(ISERROR(C62/TOTAL!$C$3),"0%",C62/TOTAL!$C$3)</f>
        <v>0%</v>
      </c>
      <c r="F62" s="10">
        <f>+'6'!D1</f>
        <v>46148</v>
      </c>
      <c r="G62" s="11" t="str">
        <f>+'6'!A12</f>
        <v/>
      </c>
      <c r="H62" s="11">
        <f>+'6'!B12</f>
        <v>0</v>
      </c>
      <c r="I62" s="11">
        <f>+'6'!C12</f>
        <v>0</v>
      </c>
      <c r="J62" s="11">
        <f>+'6'!D12</f>
        <v>0</v>
      </c>
      <c r="K62" s="13">
        <f>+'6'!E12</f>
        <v>0</v>
      </c>
      <c r="M62" s="10">
        <f>+'5'!D1</f>
        <v>46147</v>
      </c>
      <c r="N62" s="11" t="str">
        <f>+'5'!A34</f>
        <v/>
      </c>
      <c r="O62" s="11">
        <f>+'5'!B34</f>
        <v>0</v>
      </c>
      <c r="P62" s="11">
        <f>+'5'!C34</f>
        <v>0</v>
      </c>
      <c r="Q62" s="11">
        <f>+'5'!D34</f>
        <v>0</v>
      </c>
      <c r="R62" s="13">
        <f>+'5'!E34</f>
        <v>0</v>
      </c>
      <c r="T62" s="10">
        <f>+'3'!D1</f>
        <v>46145</v>
      </c>
      <c r="U62" s="56" t="str">
        <f>+'3'!A55</f>
        <v/>
      </c>
      <c r="V62" s="56">
        <f>+'3'!B55</f>
        <v>0</v>
      </c>
      <c r="W62" s="56">
        <f>+'3'!C55</f>
        <v>0</v>
      </c>
      <c r="X62" s="56">
        <f>+'3'!D55</f>
        <v>0</v>
      </c>
      <c r="Y62" s="61">
        <f>+'3'!E55</f>
        <v>0</v>
      </c>
      <c r="AA62" s="10">
        <f>+'20'!D1</f>
        <v>46162</v>
      </c>
      <c r="AB62" s="56">
        <f>+'20'!D59</f>
        <v>0</v>
      </c>
      <c r="AC62" s="62">
        <f>+'20'!E59</f>
        <v>0</v>
      </c>
    </row>
    <row r="63" spans="2:29">
      <c r="B63" s="34" t="s">
        <v>138</v>
      </c>
      <c r="C63" s="35">
        <f>SUM(K:K,R:R,Y:Y)</f>
        <v>0</v>
      </c>
      <c r="F63" s="10">
        <f>+'7'!D1</f>
        <v>46149</v>
      </c>
      <c r="G63" s="11" t="str">
        <f>+'7'!A3</f>
        <v/>
      </c>
      <c r="H63" s="11">
        <f>+'7'!B3</f>
        <v>0</v>
      </c>
      <c r="I63" s="11">
        <f>+'7'!C3</f>
        <v>0</v>
      </c>
      <c r="J63" s="11">
        <f>+'7'!D3</f>
        <v>0</v>
      </c>
      <c r="K63" s="13">
        <f>+'7'!E3</f>
        <v>0</v>
      </c>
      <c r="M63" s="10">
        <f>+'6'!D1</f>
        <v>46148</v>
      </c>
      <c r="N63" s="11" t="str">
        <f>+'6'!A23</f>
        <v/>
      </c>
      <c r="O63" s="11">
        <f>+'6'!B23</f>
        <v>0</v>
      </c>
      <c r="P63" s="11">
        <f>+'6'!C23</f>
        <v>0</v>
      </c>
      <c r="Q63" s="11">
        <f>+'6'!D23</f>
        <v>0</v>
      </c>
      <c r="R63" s="13">
        <f>+'6'!E23</f>
        <v>0</v>
      </c>
      <c r="T63" s="10">
        <f>+'4'!D1</f>
        <v>46146</v>
      </c>
      <c r="U63" s="56" t="str">
        <f>+'4'!A36</f>
        <v/>
      </c>
      <c r="V63" s="56">
        <f>+'4'!B36</f>
        <v>0</v>
      </c>
      <c r="W63" s="56">
        <f>+'4'!C36</f>
        <v>0</v>
      </c>
      <c r="X63" s="56">
        <f>+'4'!D36</f>
        <v>0</v>
      </c>
      <c r="Y63" s="61">
        <f>+'4'!E36</f>
        <v>0</v>
      </c>
      <c r="AA63" s="10">
        <f>+'21'!D1</f>
        <v>46163</v>
      </c>
      <c r="AB63" s="56">
        <f>+'21'!D57</f>
        <v>0</v>
      </c>
      <c r="AC63" s="62">
        <f>+'21'!E57</f>
        <v>0</v>
      </c>
    </row>
    <row r="64" spans="2:29">
      <c r="B64" s="34" t="s">
        <v>17</v>
      </c>
      <c r="C64" s="35">
        <f>C62-C63</f>
        <v>0</v>
      </c>
      <c r="F64" s="10">
        <f>+'7'!D1</f>
        <v>46149</v>
      </c>
      <c r="G64" s="11" t="str">
        <f>+'7'!A4</f>
        <v/>
      </c>
      <c r="H64" s="11">
        <f>+'7'!B4</f>
        <v>0</v>
      </c>
      <c r="I64" s="11">
        <f>+'7'!C4</f>
        <v>0</v>
      </c>
      <c r="J64" s="11">
        <f>+'7'!D4</f>
        <v>0</v>
      </c>
      <c r="K64" s="13">
        <f>+'7'!E4</f>
        <v>0</v>
      </c>
      <c r="M64" s="10">
        <f>+'6'!D1</f>
        <v>46148</v>
      </c>
      <c r="N64" s="11" t="str">
        <f>+'6'!A24</f>
        <v/>
      </c>
      <c r="O64" s="11">
        <f>+'6'!B24</f>
        <v>0</v>
      </c>
      <c r="P64" s="11">
        <f>+'6'!C24</f>
        <v>0</v>
      </c>
      <c r="Q64" s="11">
        <f>+'6'!D24</f>
        <v>0</v>
      </c>
      <c r="R64" s="13">
        <f>+'6'!E24</f>
        <v>0</v>
      </c>
      <c r="T64" s="10">
        <f>+'4'!D1</f>
        <v>46146</v>
      </c>
      <c r="U64" s="56" t="str">
        <f>+'4'!A37</f>
        <v/>
      </c>
      <c r="V64" s="56">
        <f>+'4'!B37</f>
        <v>0</v>
      </c>
      <c r="W64" s="56">
        <f>+'4'!C37</f>
        <v>0</v>
      </c>
      <c r="X64" s="56">
        <f>+'4'!D37</f>
        <v>0</v>
      </c>
      <c r="Y64" s="61">
        <f>+'4'!E37</f>
        <v>0</v>
      </c>
      <c r="AA64" s="10">
        <f>+'21'!D1</f>
        <v>46163</v>
      </c>
      <c r="AB64" s="56">
        <f>+'21'!D58</f>
        <v>0</v>
      </c>
      <c r="AC64" s="62">
        <f>+'21'!E58</f>
        <v>0</v>
      </c>
    </row>
    <row r="65" spans="2:29">
      <c r="B65" s="63" t="s">
        <v>139</v>
      </c>
      <c r="C65" s="64">
        <f>SUM(K:K)</f>
        <v>0</v>
      </c>
      <c r="F65" s="10">
        <f>+'7'!D1</f>
        <v>46149</v>
      </c>
      <c r="G65" s="11" t="str">
        <f>+'7'!A5</f>
        <v/>
      </c>
      <c r="H65" s="11">
        <f>+'7'!B5</f>
        <v>0</v>
      </c>
      <c r="I65" s="11">
        <f>+'7'!C5</f>
        <v>0</v>
      </c>
      <c r="J65" s="11">
        <f>+'7'!D5</f>
        <v>0</v>
      </c>
      <c r="K65" s="13">
        <f>+'7'!E5</f>
        <v>0</v>
      </c>
      <c r="M65" s="10">
        <f>+'6'!D1</f>
        <v>46148</v>
      </c>
      <c r="N65" s="11" t="str">
        <f>+'6'!A25</f>
        <v/>
      </c>
      <c r="O65" s="11">
        <f>+'6'!B25</f>
        <v>0</v>
      </c>
      <c r="P65" s="11">
        <f>+'6'!C25</f>
        <v>0</v>
      </c>
      <c r="Q65" s="11">
        <f>+'6'!D25</f>
        <v>0</v>
      </c>
      <c r="R65" s="13">
        <f>+'6'!E25</f>
        <v>0</v>
      </c>
      <c r="T65" s="10">
        <f>+'4'!D1</f>
        <v>46146</v>
      </c>
      <c r="U65" s="56" t="str">
        <f>+'4'!A38</f>
        <v/>
      </c>
      <c r="V65" s="56">
        <f>+'4'!B38</f>
        <v>0</v>
      </c>
      <c r="W65" s="56">
        <f>+'4'!C38</f>
        <v>0</v>
      </c>
      <c r="X65" s="56">
        <f>+'4'!D38</f>
        <v>0</v>
      </c>
      <c r="Y65" s="61">
        <f>+'4'!E38</f>
        <v>0</v>
      </c>
      <c r="AA65" s="10">
        <f>+'21'!D1</f>
        <v>46163</v>
      </c>
      <c r="AB65" s="56">
        <f>+'21'!D59</f>
        <v>0</v>
      </c>
      <c r="AC65" s="62">
        <f>+'21'!E59</f>
        <v>0</v>
      </c>
    </row>
    <row r="66" spans="2:29">
      <c r="B66" s="65" t="s">
        <v>140</v>
      </c>
      <c r="C66" s="66">
        <f>SUM(R:R)</f>
        <v>0</v>
      </c>
      <c r="F66" s="10">
        <f>+'7'!D1</f>
        <v>46149</v>
      </c>
      <c r="G66" s="11" t="str">
        <f>+'7'!A6</f>
        <v/>
      </c>
      <c r="H66" s="11">
        <f>+'7'!B6</f>
        <v>0</v>
      </c>
      <c r="I66" s="11">
        <f>+'7'!C6</f>
        <v>0</v>
      </c>
      <c r="J66" s="11">
        <f>+'7'!D6</f>
        <v>0</v>
      </c>
      <c r="K66" s="13">
        <f>+'7'!E6</f>
        <v>0</v>
      </c>
      <c r="M66" s="10">
        <f>+'6'!D1</f>
        <v>46148</v>
      </c>
      <c r="N66" s="11" t="str">
        <f>+'6'!A26</f>
        <v/>
      </c>
      <c r="O66" s="11">
        <f>+'6'!B26</f>
        <v>0</v>
      </c>
      <c r="P66" s="11">
        <f>+'6'!C26</f>
        <v>0</v>
      </c>
      <c r="Q66" s="11">
        <f>+'6'!D26</f>
        <v>0</v>
      </c>
      <c r="R66" s="13">
        <f>+'6'!E26</f>
        <v>0</v>
      </c>
      <c r="T66" s="10">
        <f>+'4'!D1</f>
        <v>46146</v>
      </c>
      <c r="U66" s="56" t="str">
        <f>+'4'!A39</f>
        <v/>
      </c>
      <c r="V66" s="56">
        <f>+'4'!B39</f>
        <v>0</v>
      </c>
      <c r="W66" s="56">
        <f>+'4'!C39</f>
        <v>0</v>
      </c>
      <c r="X66" s="56">
        <f>+'4'!D39</f>
        <v>0</v>
      </c>
      <c r="Y66" s="61">
        <f>+'4'!E39</f>
        <v>0</v>
      </c>
      <c r="AA66" s="10">
        <f>+'22'!D1</f>
        <v>46164</v>
      </c>
      <c r="AB66" s="56">
        <f>+'22'!D57</f>
        <v>0</v>
      </c>
      <c r="AC66" s="62">
        <f>+'22'!E57</f>
        <v>0</v>
      </c>
    </row>
    <row r="67" spans="2:29">
      <c r="B67" s="67" t="s">
        <v>141</v>
      </c>
      <c r="C67" s="68">
        <f>SUM(Y:Y)</f>
        <v>0</v>
      </c>
      <c r="F67" s="10">
        <f>+'7'!D1</f>
        <v>46149</v>
      </c>
      <c r="G67" s="11" t="str">
        <f>+'7'!A7</f>
        <v/>
      </c>
      <c r="H67" s="11">
        <f>+'7'!B7</f>
        <v>0</v>
      </c>
      <c r="I67" s="11">
        <f>+'7'!C7</f>
        <v>0</v>
      </c>
      <c r="J67" s="11">
        <f>+'7'!D7</f>
        <v>0</v>
      </c>
      <c r="K67" s="13">
        <f>+'7'!E7</f>
        <v>0</v>
      </c>
      <c r="M67" s="10">
        <f>+'6'!D1</f>
        <v>46148</v>
      </c>
      <c r="N67" s="11" t="str">
        <f>+'6'!A27</f>
        <v/>
      </c>
      <c r="O67" s="11">
        <f>+'6'!B27</f>
        <v>0</v>
      </c>
      <c r="P67" s="11">
        <f>+'6'!C27</f>
        <v>0</v>
      </c>
      <c r="Q67" s="11">
        <f>+'6'!D27</f>
        <v>0</v>
      </c>
      <c r="R67" s="13">
        <f>+'6'!E27</f>
        <v>0</v>
      </c>
      <c r="T67" s="10">
        <f>+'4'!D1</f>
        <v>46146</v>
      </c>
      <c r="U67" s="56" t="str">
        <f>+'4'!A40</f>
        <v/>
      </c>
      <c r="V67" s="56">
        <f>+'4'!B40</f>
        <v>0</v>
      </c>
      <c r="W67" s="56">
        <f>+'4'!C40</f>
        <v>0</v>
      </c>
      <c r="X67" s="56">
        <f>+'4'!D40</f>
        <v>0</v>
      </c>
      <c r="Y67" s="61">
        <f>+'4'!E40</f>
        <v>0</v>
      </c>
      <c r="AA67" s="10">
        <f>+'22'!D1</f>
        <v>46164</v>
      </c>
      <c r="AB67" s="56">
        <f>+'22'!D58</f>
        <v>0</v>
      </c>
      <c r="AC67" s="62">
        <f>+'22'!E58</f>
        <v>0</v>
      </c>
    </row>
    <row r="68" spans="5:29">
      <c r="E68" s="17"/>
      <c r="F68" s="10">
        <f>+'7'!D1</f>
        <v>46149</v>
      </c>
      <c r="G68" s="11" t="str">
        <f>+'7'!A8</f>
        <v/>
      </c>
      <c r="H68" s="11">
        <f>+'7'!B8</f>
        <v>0</v>
      </c>
      <c r="I68" s="11">
        <f>+'7'!C8</f>
        <v>0</v>
      </c>
      <c r="J68" s="11">
        <f>+'7'!D8</f>
        <v>0</v>
      </c>
      <c r="K68" s="13">
        <f>+'7'!E8</f>
        <v>0</v>
      </c>
      <c r="M68" s="10">
        <f>+'6'!D1</f>
        <v>46148</v>
      </c>
      <c r="N68" s="11" t="str">
        <f>+'6'!A28</f>
        <v/>
      </c>
      <c r="O68" s="11">
        <f>+'6'!B28</f>
        <v>0</v>
      </c>
      <c r="P68" s="11">
        <f>+'6'!C28</f>
        <v>0</v>
      </c>
      <c r="Q68" s="11">
        <f>+'6'!D28</f>
        <v>0</v>
      </c>
      <c r="R68" s="13">
        <f>+'6'!E28</f>
        <v>0</v>
      </c>
      <c r="T68" s="10">
        <f>+'4'!D1</f>
        <v>46146</v>
      </c>
      <c r="U68" s="56" t="str">
        <f>+'4'!A41</f>
        <v/>
      </c>
      <c r="V68" s="56">
        <f>+'4'!B41</f>
        <v>0</v>
      </c>
      <c r="W68" s="56">
        <f>+'4'!C41</f>
        <v>0</v>
      </c>
      <c r="X68" s="56">
        <f>+'4'!D41</f>
        <v>0</v>
      </c>
      <c r="Y68" s="61">
        <f>+'4'!E41</f>
        <v>0</v>
      </c>
      <c r="AA68" s="10">
        <f>+'22'!D1</f>
        <v>46164</v>
      </c>
      <c r="AB68" s="56">
        <f>+'22'!D59</f>
        <v>0</v>
      </c>
      <c r="AC68" s="62">
        <f>+'22'!E59</f>
        <v>0</v>
      </c>
    </row>
    <row r="69" spans="2:29">
      <c r="B69" s="69" t="s">
        <v>142</v>
      </c>
      <c r="C69" s="70">
        <f>SUM(AC:AC)</f>
        <v>0</v>
      </c>
      <c r="E69" s="71"/>
      <c r="F69" s="10">
        <f>+'7'!D1</f>
        <v>46149</v>
      </c>
      <c r="G69" s="11" t="str">
        <f>+'7'!A9</f>
        <v/>
      </c>
      <c r="H69" s="11">
        <f>+'7'!B9</f>
        <v>0</v>
      </c>
      <c r="I69" s="11">
        <f>+'7'!C9</f>
        <v>0</v>
      </c>
      <c r="J69" s="11" t="str">
        <f>+'7'!D9</f>
        <v> </v>
      </c>
      <c r="K69" s="13">
        <f>+'7'!E9</f>
        <v>0</v>
      </c>
      <c r="M69" s="10">
        <f>+'6'!D1</f>
        <v>46148</v>
      </c>
      <c r="N69" s="11" t="str">
        <f>+'6'!A29</f>
        <v/>
      </c>
      <c r="O69" s="11">
        <f>+'6'!B29</f>
        <v>0</v>
      </c>
      <c r="P69" s="11">
        <f>+'6'!C29</f>
        <v>0</v>
      </c>
      <c r="Q69" s="11">
        <f>+'6'!D29</f>
        <v>0</v>
      </c>
      <c r="R69" s="13">
        <f>+'6'!E29</f>
        <v>0</v>
      </c>
      <c r="T69" s="10">
        <f>+'4'!D1</f>
        <v>46146</v>
      </c>
      <c r="U69" s="56" t="str">
        <f>+'4'!A42</f>
        <v/>
      </c>
      <c r="V69" s="56">
        <f>+'4'!B42</f>
        <v>0</v>
      </c>
      <c r="W69" s="56">
        <f>+'4'!C42</f>
        <v>0</v>
      </c>
      <c r="X69" s="56">
        <f>+'4'!D42</f>
        <v>0</v>
      </c>
      <c r="Y69" s="61">
        <f>+'4'!E42</f>
        <v>0</v>
      </c>
      <c r="AA69" s="10">
        <f>+'23'!D1</f>
        <v>46165</v>
      </c>
      <c r="AB69" s="56">
        <f>+'23'!D57</f>
        <v>0</v>
      </c>
      <c r="AC69" s="62">
        <f>+'23'!E57</f>
        <v>0</v>
      </c>
    </row>
    <row r="70" spans="5:29">
      <c r="E70" s="71"/>
      <c r="F70" s="10">
        <f>+'7'!D1</f>
        <v>46149</v>
      </c>
      <c r="G70" s="11" t="str">
        <f>+'7'!A10</f>
        <v/>
      </c>
      <c r="H70" s="11">
        <f>+'7'!B10</f>
        <v>0</v>
      </c>
      <c r="I70" s="11">
        <f>+'7'!C10</f>
        <v>0</v>
      </c>
      <c r="J70" s="11">
        <f>+'7'!D10</f>
        <v>0</v>
      </c>
      <c r="K70" s="13">
        <f>+'7'!E10</f>
        <v>0</v>
      </c>
      <c r="M70" s="10">
        <f>+'6'!D1</f>
        <v>46148</v>
      </c>
      <c r="N70" s="11" t="str">
        <f>+'6'!A30</f>
        <v/>
      </c>
      <c r="O70" s="11">
        <f>+'6'!B30</f>
        <v>0</v>
      </c>
      <c r="P70" s="11">
        <f>+'6'!C30</f>
        <v>0</v>
      </c>
      <c r="Q70" s="11">
        <f>+'6'!D30</f>
        <v>0</v>
      </c>
      <c r="R70" s="13">
        <f>+'6'!E30</f>
        <v>0</v>
      </c>
      <c r="T70" s="10">
        <f>+'4'!D1</f>
        <v>46146</v>
      </c>
      <c r="U70" s="56" t="str">
        <f>+'4'!A43</f>
        <v/>
      </c>
      <c r="V70" s="56">
        <f>+'4'!B43</f>
        <v>0</v>
      </c>
      <c r="W70" s="56">
        <f>+'4'!C43</f>
        <v>0</v>
      </c>
      <c r="X70" s="56">
        <f>+'4'!D43</f>
        <v>0</v>
      </c>
      <c r="Y70" s="61">
        <f>+'4'!E43</f>
        <v>0</v>
      </c>
      <c r="AA70" s="10">
        <f>+'23'!D1</f>
        <v>46165</v>
      </c>
      <c r="AB70" s="56">
        <f>+'23'!D58</f>
        <v>0</v>
      </c>
      <c r="AC70" s="62">
        <f>+'23'!E58</f>
        <v>0</v>
      </c>
    </row>
    <row r="71" spans="2:29">
      <c r="B71" s="72" t="s">
        <v>143</v>
      </c>
      <c r="C71" s="73"/>
      <c r="D71" s="74"/>
      <c r="E71" s="17"/>
      <c r="F71" s="10">
        <f>+'7'!D1</f>
        <v>46149</v>
      </c>
      <c r="G71" s="11" t="str">
        <f>+'7'!A11</f>
        <v/>
      </c>
      <c r="H71" s="11">
        <f>+'7'!B11</f>
        <v>0</v>
      </c>
      <c r="I71" s="11">
        <f>+'7'!C11</f>
        <v>0</v>
      </c>
      <c r="J71" s="11">
        <f>+'7'!D11</f>
        <v>0</v>
      </c>
      <c r="K71" s="13">
        <f>+'7'!E11</f>
        <v>0</v>
      </c>
      <c r="M71" s="10">
        <f>+'6'!D1</f>
        <v>46148</v>
      </c>
      <c r="N71" s="11" t="str">
        <f>+'6'!A31</f>
        <v/>
      </c>
      <c r="O71" s="11">
        <f>+'6'!B31</f>
        <v>0</v>
      </c>
      <c r="P71" s="11">
        <f>+'6'!C31</f>
        <v>0</v>
      </c>
      <c r="Q71" s="11">
        <f>+'6'!D31</f>
        <v>0</v>
      </c>
      <c r="R71" s="13">
        <f>+'6'!E31</f>
        <v>0</v>
      </c>
      <c r="T71" s="10">
        <f>+'4'!D1</f>
        <v>46146</v>
      </c>
      <c r="U71" s="56" t="str">
        <f>+'4'!A44</f>
        <v/>
      </c>
      <c r="V71" s="56">
        <f>+'4'!B44</f>
        <v>0</v>
      </c>
      <c r="W71" s="56">
        <f>+'4'!C44</f>
        <v>0</v>
      </c>
      <c r="X71" s="56">
        <f>+'4'!D44</f>
        <v>0</v>
      </c>
      <c r="Y71" s="61">
        <f>+'4'!E44</f>
        <v>0</v>
      </c>
      <c r="AA71" s="10">
        <f>+'23'!D1</f>
        <v>46165</v>
      </c>
      <c r="AB71" s="56">
        <f>+'23'!D59</f>
        <v>0</v>
      </c>
      <c r="AC71" s="62">
        <f>+'23'!E59</f>
        <v>0</v>
      </c>
    </row>
    <row r="72" spans="2:29">
      <c r="B72" s="75" t="s">
        <v>34</v>
      </c>
      <c r="C72" s="76">
        <f>+TOTAL!C3</f>
        <v>0</v>
      </c>
      <c r="D72" s="77" t="str">
        <f>IF(ISERROR(C72/C72),"0%",C72/C72)</f>
        <v>0%</v>
      </c>
      <c r="E72" s="17"/>
      <c r="F72" s="10">
        <f>+'7'!D1</f>
        <v>46149</v>
      </c>
      <c r="G72" s="11" t="str">
        <f>+'7'!A12</f>
        <v/>
      </c>
      <c r="H72" s="11">
        <f>+'7'!B12</f>
        <v>0</v>
      </c>
      <c r="I72" s="11">
        <f>+'7'!C12</f>
        <v>0</v>
      </c>
      <c r="J72" s="11">
        <f>+'7'!D12</f>
        <v>0</v>
      </c>
      <c r="K72" s="13">
        <f>+'7'!E12</f>
        <v>0</v>
      </c>
      <c r="M72" s="10">
        <f>+'6'!D1</f>
        <v>46148</v>
      </c>
      <c r="N72" s="11" t="str">
        <f>+'6'!A32</f>
        <v/>
      </c>
      <c r="O72" s="11">
        <f>+'6'!B32</f>
        <v>0</v>
      </c>
      <c r="P72" s="11">
        <f>+'6'!C32</f>
        <v>0</v>
      </c>
      <c r="Q72" s="11">
        <f>+'6'!D32</f>
        <v>0</v>
      </c>
      <c r="R72" s="13">
        <f>+'6'!E32</f>
        <v>0</v>
      </c>
      <c r="T72" s="10">
        <f>+'4'!D1</f>
        <v>46146</v>
      </c>
      <c r="U72" s="56" t="str">
        <f>+'4'!A45</f>
        <v/>
      </c>
      <c r="V72" s="56">
        <f>+'4'!B45</f>
        <v>0</v>
      </c>
      <c r="W72" s="56">
        <f>+'4'!C45</f>
        <v>0</v>
      </c>
      <c r="X72" s="56">
        <f>+'4'!D45</f>
        <v>0</v>
      </c>
      <c r="Y72" s="61">
        <f>+'4'!E45</f>
        <v>0</v>
      </c>
      <c r="AA72" s="10">
        <f>+'24'!D1</f>
        <v>46166</v>
      </c>
      <c r="AB72" s="56">
        <f>+'24'!D57</f>
        <v>0</v>
      </c>
      <c r="AC72" s="62">
        <f>+'24'!E57</f>
        <v>0</v>
      </c>
    </row>
    <row r="73" spans="2:29">
      <c r="B73" s="75" t="s">
        <v>27</v>
      </c>
      <c r="C73" s="76">
        <f>+C63-C60-C61</f>
        <v>0</v>
      </c>
      <c r="D73" s="77" t="str">
        <f>IF(ISERROR(C73/C72),"0%",C73/C72)</f>
        <v>0%</v>
      </c>
      <c r="E73" s="17"/>
      <c r="F73" s="10">
        <f>+'8'!D1</f>
        <v>46150</v>
      </c>
      <c r="G73" s="11" t="str">
        <f>+'8'!A3</f>
        <v/>
      </c>
      <c r="H73" s="11">
        <f>+'8'!B3</f>
        <v>0</v>
      </c>
      <c r="I73" s="11">
        <f>+'8'!C3</f>
        <v>0</v>
      </c>
      <c r="J73" s="11">
        <f>+'8'!D3</f>
        <v>0</v>
      </c>
      <c r="K73" s="13">
        <f>+'8'!E3</f>
        <v>0</v>
      </c>
      <c r="M73" s="10">
        <f>+'6'!D1</f>
        <v>46148</v>
      </c>
      <c r="N73" s="11" t="str">
        <f>+'6'!A33</f>
        <v/>
      </c>
      <c r="O73" s="11">
        <f>+'6'!B33</f>
        <v>0</v>
      </c>
      <c r="P73" s="11">
        <f>+'6'!C33</f>
        <v>0</v>
      </c>
      <c r="Q73" s="11">
        <f>+'6'!D33</f>
        <v>0</v>
      </c>
      <c r="R73" s="13">
        <f>+'6'!E33</f>
        <v>0</v>
      </c>
      <c r="T73" s="10">
        <f>+'4'!D1</f>
        <v>46146</v>
      </c>
      <c r="U73" s="56" t="str">
        <f>+'4'!A46</f>
        <v/>
      </c>
      <c r="V73" s="56">
        <f>+'4'!B46</f>
        <v>0</v>
      </c>
      <c r="W73" s="56">
        <f>+'4'!C46</f>
        <v>0</v>
      </c>
      <c r="X73" s="56">
        <f>+'4'!D46</f>
        <v>0</v>
      </c>
      <c r="Y73" s="61">
        <f>+'4'!E46</f>
        <v>0</v>
      </c>
      <c r="AA73" s="10">
        <f>+'24'!D1</f>
        <v>46166</v>
      </c>
      <c r="AB73" s="56">
        <f>+'24'!D58</f>
        <v>0</v>
      </c>
      <c r="AC73" s="62">
        <f>+'24'!E58</f>
        <v>0</v>
      </c>
    </row>
    <row r="74" spans="2:29">
      <c r="B74" s="63" t="s">
        <v>144</v>
      </c>
      <c r="C74" s="64">
        <f>+C72-C73</f>
        <v>0</v>
      </c>
      <c r="D74" s="78" t="str">
        <f>IF(ISERROR(C74/C72),"0%",C74/C72)</f>
        <v>0%</v>
      </c>
      <c r="F74" s="10">
        <f>+'8'!D1</f>
        <v>46150</v>
      </c>
      <c r="G74" s="11" t="str">
        <f>+'8'!A4</f>
        <v/>
      </c>
      <c r="H74" s="11">
        <f>+'8'!B4</f>
        <v>0</v>
      </c>
      <c r="I74" s="11">
        <f>+'8'!C4</f>
        <v>0</v>
      </c>
      <c r="J74" s="11">
        <f>+'8'!D4</f>
        <v>0</v>
      </c>
      <c r="K74" s="13">
        <f>+'8'!E4</f>
        <v>0</v>
      </c>
      <c r="M74" s="10">
        <f>+'6'!D1</f>
        <v>46148</v>
      </c>
      <c r="N74" s="11" t="str">
        <f>+'6'!A34</f>
        <v/>
      </c>
      <c r="O74" s="11">
        <f>+'6'!B34</f>
        <v>0</v>
      </c>
      <c r="P74" s="11">
        <f>+'6'!C34</f>
        <v>0</v>
      </c>
      <c r="Q74" s="11">
        <f>+'6'!D34</f>
        <v>0</v>
      </c>
      <c r="R74" s="13">
        <f>+'6'!E34</f>
        <v>0</v>
      </c>
      <c r="T74" s="10">
        <f>+'4'!D1</f>
        <v>46146</v>
      </c>
      <c r="U74" s="56" t="str">
        <f>+'4'!A47</f>
        <v/>
      </c>
      <c r="V74" s="56">
        <f>+'4'!B47</f>
        <v>0</v>
      </c>
      <c r="W74" s="56">
        <f>+'4'!C47</f>
        <v>0</v>
      </c>
      <c r="X74" s="56">
        <f>+'4'!D47</f>
        <v>0</v>
      </c>
      <c r="Y74" s="61">
        <f>+'4'!E47</f>
        <v>0</v>
      </c>
      <c r="AA74" s="10">
        <f>+'24'!D1</f>
        <v>46166</v>
      </c>
      <c r="AB74" s="56">
        <f>+'24'!D59</f>
        <v>0</v>
      </c>
      <c r="AC74" s="62">
        <f>+'24'!E59</f>
        <v>0</v>
      </c>
    </row>
    <row r="75" spans="2:29">
      <c r="B75" s="75" t="s">
        <v>145</v>
      </c>
      <c r="C75" s="76">
        <f>C53</f>
        <v>0</v>
      </c>
      <c r="D75" s="77" t="str">
        <f>IF(ISERROR(C75/C72),"0%",C75/C72)</f>
        <v>0%</v>
      </c>
      <c r="F75" s="10">
        <f>+'8'!D1</f>
        <v>46150</v>
      </c>
      <c r="G75" s="11" t="str">
        <f>+'8'!A5</f>
        <v/>
      </c>
      <c r="H75" s="11">
        <f>+'8'!B5</f>
        <v>0</v>
      </c>
      <c r="I75" s="11">
        <f>+'8'!C5</f>
        <v>0</v>
      </c>
      <c r="J75" s="11">
        <f>+'8'!D5</f>
        <v>0</v>
      </c>
      <c r="K75" s="13">
        <f>+'8'!E5</f>
        <v>0</v>
      </c>
      <c r="M75" s="10">
        <f>+'7'!D1</f>
        <v>46149</v>
      </c>
      <c r="N75" s="11" t="str">
        <f>+'7'!A23</f>
        <v/>
      </c>
      <c r="O75" s="11">
        <f>+'7'!B23</f>
        <v>0</v>
      </c>
      <c r="P75" s="11">
        <f>+'7'!C23</f>
        <v>0</v>
      </c>
      <c r="Q75" s="11">
        <f>+'7'!D23</f>
        <v>0</v>
      </c>
      <c r="R75" s="13">
        <f>+'7'!E23</f>
        <v>0</v>
      </c>
      <c r="T75" s="10">
        <f>+'4'!D1</f>
        <v>46146</v>
      </c>
      <c r="U75" s="56" t="str">
        <f>+'4'!A48</f>
        <v/>
      </c>
      <c r="V75" s="56">
        <f>+'4'!B48</f>
        <v>0</v>
      </c>
      <c r="W75" s="56">
        <f>+'4'!C48</f>
        <v>0</v>
      </c>
      <c r="X75" s="56">
        <f>+'4'!D48</f>
        <v>0</v>
      </c>
      <c r="Y75" s="61">
        <f>+'4'!E48</f>
        <v>0</v>
      </c>
      <c r="AA75" s="10">
        <f>+'25'!D1</f>
        <v>46167</v>
      </c>
      <c r="AB75" s="56">
        <f>+'25'!D57</f>
        <v>0</v>
      </c>
      <c r="AC75" s="62">
        <f>+'25'!E57</f>
        <v>0</v>
      </c>
    </row>
    <row r="76" spans="2:29">
      <c r="B76" s="79" t="s">
        <v>146</v>
      </c>
      <c r="C76" s="80">
        <f>SUM(C72,C75)-C73</f>
        <v>0</v>
      </c>
      <c r="D76" s="81" t="str">
        <f>IF(ISERROR(C76/C72),"0%",C76/C72)</f>
        <v>0%</v>
      </c>
      <c r="F76" s="10">
        <f>+'8'!D1</f>
        <v>46150</v>
      </c>
      <c r="G76" s="11" t="str">
        <f>+'8'!A6</f>
        <v/>
      </c>
      <c r="H76" s="11">
        <f>+'8'!B6</f>
        <v>0</v>
      </c>
      <c r="I76" s="11">
        <f>+'8'!C6</f>
        <v>0</v>
      </c>
      <c r="J76" s="11">
        <f>+'8'!D6</f>
        <v>0</v>
      </c>
      <c r="K76" s="13">
        <f>+'8'!E6</f>
        <v>0</v>
      </c>
      <c r="M76" s="10">
        <f>+'7'!D1</f>
        <v>46149</v>
      </c>
      <c r="N76" s="11" t="str">
        <f>+'7'!A24</f>
        <v/>
      </c>
      <c r="O76" s="11">
        <f>+'7'!B24</f>
        <v>0</v>
      </c>
      <c r="P76" s="11">
        <f>+'7'!C24</f>
        <v>0</v>
      </c>
      <c r="Q76" s="11">
        <f>+'7'!D24</f>
        <v>0</v>
      </c>
      <c r="R76" s="13">
        <f>+'7'!E24</f>
        <v>0</v>
      </c>
      <c r="T76" s="10">
        <f>+'4'!D1</f>
        <v>46146</v>
      </c>
      <c r="U76" s="56" t="str">
        <f>+'4'!A49</f>
        <v/>
      </c>
      <c r="V76" s="56">
        <f>+'4'!B49</f>
        <v>0</v>
      </c>
      <c r="W76" s="56">
        <f>+'4'!C49</f>
        <v>0</v>
      </c>
      <c r="X76" s="56">
        <f>+'4'!D49</f>
        <v>0</v>
      </c>
      <c r="Y76" s="61">
        <f>+'4'!E49</f>
        <v>0</v>
      </c>
      <c r="AA76" s="10">
        <f>+'25'!D1</f>
        <v>46167</v>
      </c>
      <c r="AB76" s="56">
        <f>+'25'!D58</f>
        <v>0</v>
      </c>
      <c r="AC76" s="62">
        <f>+'25'!E58</f>
        <v>0</v>
      </c>
    </row>
    <row r="77" spans="6:29">
      <c r="F77" s="10">
        <f>+'8'!D1</f>
        <v>46150</v>
      </c>
      <c r="G77" s="11" t="str">
        <f>+'8'!A7</f>
        <v/>
      </c>
      <c r="H77" s="11">
        <f>+'8'!B7</f>
        <v>0</v>
      </c>
      <c r="I77" s="11">
        <f>+'8'!C7</f>
        <v>0</v>
      </c>
      <c r="J77" s="11">
        <f>+'8'!D7</f>
        <v>0</v>
      </c>
      <c r="K77" s="13">
        <f>+'8'!E7</f>
        <v>0</v>
      </c>
      <c r="M77" s="10">
        <f>+'7'!D1</f>
        <v>46149</v>
      </c>
      <c r="N77" s="11" t="str">
        <f>+'7'!A25</f>
        <v/>
      </c>
      <c r="O77" s="11">
        <f>+'7'!B25</f>
        <v>0</v>
      </c>
      <c r="P77" s="11">
        <f>+'7'!C25</f>
        <v>0</v>
      </c>
      <c r="Q77" s="11">
        <f>+'7'!D25</f>
        <v>0</v>
      </c>
      <c r="R77" s="13">
        <f>+'7'!E25</f>
        <v>0</v>
      </c>
      <c r="T77" s="10">
        <f>+'4'!D1</f>
        <v>46146</v>
      </c>
      <c r="U77" s="56" t="str">
        <f>+'4'!A50</f>
        <v/>
      </c>
      <c r="V77" s="56">
        <f>+'4'!B50</f>
        <v>0</v>
      </c>
      <c r="W77" s="56">
        <f>+'4'!C50</f>
        <v>0</v>
      </c>
      <c r="X77" s="56">
        <f>+'4'!D50</f>
        <v>0</v>
      </c>
      <c r="Y77" s="61">
        <f>+'4'!E50</f>
        <v>0</v>
      </c>
      <c r="AA77" s="10">
        <f>+'25'!D1</f>
        <v>46167</v>
      </c>
      <c r="AB77" s="56">
        <f>+'25'!D59</f>
        <v>0</v>
      </c>
      <c r="AC77" s="62">
        <f>+'25'!E59</f>
        <v>0</v>
      </c>
    </row>
    <row r="78" spans="6:29">
      <c r="F78" s="10">
        <f>+'8'!D1</f>
        <v>46150</v>
      </c>
      <c r="G78" s="11" t="str">
        <f>+'8'!A8</f>
        <v/>
      </c>
      <c r="H78" s="11">
        <f>+'8'!B8</f>
        <v>0</v>
      </c>
      <c r="I78" s="11">
        <f>+'8'!C8</f>
        <v>0</v>
      </c>
      <c r="J78" s="11">
        <f>+'8'!D8</f>
        <v>0</v>
      </c>
      <c r="K78" s="13">
        <f>+'8'!E8</f>
        <v>0</v>
      </c>
      <c r="M78" s="10">
        <f>+'7'!D1</f>
        <v>46149</v>
      </c>
      <c r="N78" s="11" t="str">
        <f>+'7'!A26</f>
        <v/>
      </c>
      <c r="O78" s="11">
        <f>+'7'!B26</f>
        <v>0</v>
      </c>
      <c r="P78" s="11">
        <f>+'7'!C26</f>
        <v>0</v>
      </c>
      <c r="Q78" s="11">
        <f>+'7'!D26</f>
        <v>0</v>
      </c>
      <c r="R78" s="13">
        <f>+'7'!E26</f>
        <v>0</v>
      </c>
      <c r="T78" s="10">
        <f>+'4'!D1</f>
        <v>46146</v>
      </c>
      <c r="U78" s="56" t="str">
        <f>+'4'!A51</f>
        <v/>
      </c>
      <c r="V78" s="56">
        <f>+'4'!B51</f>
        <v>0</v>
      </c>
      <c r="W78" s="56">
        <f>+'4'!C51</f>
        <v>0</v>
      </c>
      <c r="X78" s="56">
        <f>+'4'!D51</f>
        <v>0</v>
      </c>
      <c r="Y78" s="61">
        <f>+'4'!E51</f>
        <v>0</v>
      </c>
      <c r="AA78" s="10">
        <f>+'26'!D1</f>
        <v>46168</v>
      </c>
      <c r="AB78" s="56">
        <f>+'26'!D57</f>
        <v>0</v>
      </c>
      <c r="AC78" s="62">
        <f>+'26'!E57</f>
        <v>0</v>
      </c>
    </row>
    <row r="79" spans="6:29">
      <c r="F79" s="10">
        <f>+'8'!D1</f>
        <v>46150</v>
      </c>
      <c r="G79" s="11" t="str">
        <f>+'8'!A9</f>
        <v/>
      </c>
      <c r="H79" s="11">
        <f>+'8'!B9</f>
        <v>0</v>
      </c>
      <c r="I79" s="11">
        <f>+'8'!C9</f>
        <v>0</v>
      </c>
      <c r="J79" s="11" t="str">
        <f>+'8'!D9</f>
        <v> </v>
      </c>
      <c r="K79" s="13">
        <f>+'8'!E9</f>
        <v>0</v>
      </c>
      <c r="M79" s="10">
        <f>+'7'!D1</f>
        <v>46149</v>
      </c>
      <c r="N79" s="11" t="str">
        <f>+'7'!A27</f>
        <v/>
      </c>
      <c r="O79" s="11">
        <f>+'7'!B27</f>
        <v>0</v>
      </c>
      <c r="P79" s="11">
        <f>+'7'!C27</f>
        <v>0</v>
      </c>
      <c r="Q79" s="11">
        <f>+'7'!D27</f>
        <v>0</v>
      </c>
      <c r="R79" s="13">
        <f>+'7'!E27</f>
        <v>0</v>
      </c>
      <c r="T79" s="10">
        <f>+'4'!D1</f>
        <v>46146</v>
      </c>
      <c r="U79" s="56" t="str">
        <f>+'4'!A52</f>
        <v/>
      </c>
      <c r="V79" s="56">
        <f>+'4'!B52</f>
        <v>0</v>
      </c>
      <c r="W79" s="56">
        <f>+'4'!C52</f>
        <v>0</v>
      </c>
      <c r="X79" s="56">
        <f>+'4'!D52</f>
        <v>0</v>
      </c>
      <c r="Y79" s="61">
        <f>+'4'!E52</f>
        <v>0</v>
      </c>
      <c r="AA79" s="10">
        <f>+'26'!D1</f>
        <v>46168</v>
      </c>
      <c r="AB79" s="56">
        <f>+'26'!D58</f>
        <v>0</v>
      </c>
      <c r="AC79" s="62">
        <f>+'26'!E58</f>
        <v>0</v>
      </c>
    </row>
    <row r="80" spans="6:29">
      <c r="F80" s="10">
        <f>+'8'!D1</f>
        <v>46150</v>
      </c>
      <c r="G80" s="11" t="str">
        <f>+'8'!A10</f>
        <v/>
      </c>
      <c r="H80" s="11">
        <f>+'8'!B10</f>
        <v>0</v>
      </c>
      <c r="I80" s="11">
        <f>+'8'!C10</f>
        <v>0</v>
      </c>
      <c r="J80" s="11">
        <f>+'8'!D10</f>
        <v>0</v>
      </c>
      <c r="K80" s="13">
        <f>+'8'!E10</f>
        <v>0</v>
      </c>
      <c r="M80" s="10">
        <f>+'7'!D1</f>
        <v>46149</v>
      </c>
      <c r="N80" s="11" t="str">
        <f>+'7'!A28</f>
        <v/>
      </c>
      <c r="O80" s="11">
        <f>+'7'!B28</f>
        <v>0</v>
      </c>
      <c r="P80" s="11">
        <f>+'7'!C28</f>
        <v>0</v>
      </c>
      <c r="Q80" s="11">
        <f>+'7'!D28</f>
        <v>0</v>
      </c>
      <c r="R80" s="13">
        <f>+'7'!E28</f>
        <v>0</v>
      </c>
      <c r="T80" s="10">
        <f>+'4'!D1</f>
        <v>46146</v>
      </c>
      <c r="U80" s="56" t="str">
        <f>+'4'!A53</f>
        <v/>
      </c>
      <c r="V80" s="56">
        <f>+'4'!B53</f>
        <v>0</v>
      </c>
      <c r="W80" s="56">
        <f>+'4'!C53</f>
        <v>0</v>
      </c>
      <c r="X80" s="56">
        <f>+'4'!D53</f>
        <v>0</v>
      </c>
      <c r="Y80" s="61">
        <f>+'4'!E53</f>
        <v>0</v>
      </c>
      <c r="AA80" s="10">
        <f>+'26'!D1</f>
        <v>46168</v>
      </c>
      <c r="AB80" s="56">
        <f>+'26'!D59</f>
        <v>0</v>
      </c>
      <c r="AC80" s="62">
        <f>+'26'!E59</f>
        <v>0</v>
      </c>
    </row>
    <row r="81" spans="6:29">
      <c r="F81" s="10">
        <f>+'8'!D1</f>
        <v>46150</v>
      </c>
      <c r="G81" s="11" t="str">
        <f>+'8'!A11</f>
        <v/>
      </c>
      <c r="H81" s="11">
        <f>+'8'!B11</f>
        <v>0</v>
      </c>
      <c r="I81" s="11">
        <f>+'8'!C11</f>
        <v>0</v>
      </c>
      <c r="J81" s="11">
        <f>+'8'!D11</f>
        <v>0</v>
      </c>
      <c r="K81" s="13">
        <f>+'8'!E11</f>
        <v>0</v>
      </c>
      <c r="M81" s="10">
        <f>+'7'!D1</f>
        <v>46149</v>
      </c>
      <c r="N81" s="11" t="str">
        <f>+'7'!A29</f>
        <v/>
      </c>
      <c r="O81" s="11">
        <f>+'7'!B29</f>
        <v>0</v>
      </c>
      <c r="P81" s="11">
        <f>+'7'!C29</f>
        <v>0</v>
      </c>
      <c r="Q81" s="11">
        <f>+'7'!D29</f>
        <v>0</v>
      </c>
      <c r="R81" s="13">
        <f>+'7'!E29</f>
        <v>0</v>
      </c>
      <c r="T81" s="10">
        <f>+'4'!D1</f>
        <v>46146</v>
      </c>
      <c r="U81" s="56" t="str">
        <f>+'4'!A54</f>
        <v/>
      </c>
      <c r="V81" s="56">
        <f>+'4'!B54</f>
        <v>0</v>
      </c>
      <c r="W81" s="56">
        <f>+'4'!C54</f>
        <v>0</v>
      </c>
      <c r="X81" s="56">
        <f>+'4'!D54</f>
        <v>0</v>
      </c>
      <c r="Y81" s="61">
        <f>+'4'!E54</f>
        <v>0</v>
      </c>
      <c r="AA81" s="10">
        <f>+'27'!D1</f>
        <v>46169</v>
      </c>
      <c r="AB81" s="56">
        <f>+'27'!D57</f>
        <v>0</v>
      </c>
      <c r="AC81" s="62">
        <f>+'27'!E57</f>
        <v>0</v>
      </c>
    </row>
    <row r="82" spans="6:29">
      <c r="F82" s="10">
        <f>+'8'!D1</f>
        <v>46150</v>
      </c>
      <c r="G82" s="11" t="str">
        <f>+'8'!A12</f>
        <v/>
      </c>
      <c r="H82" s="11">
        <f>+'8'!B12</f>
        <v>0</v>
      </c>
      <c r="I82" s="11">
        <f>+'8'!C12</f>
        <v>0</v>
      </c>
      <c r="J82" s="11">
        <f>+'8'!D12</f>
        <v>0</v>
      </c>
      <c r="K82" s="13">
        <f>+'8'!E12</f>
        <v>0</v>
      </c>
      <c r="M82" s="10">
        <f>+'7'!D1</f>
        <v>46149</v>
      </c>
      <c r="N82" s="11" t="str">
        <f>+'7'!A30</f>
        <v/>
      </c>
      <c r="O82" s="11">
        <f>+'7'!B30</f>
        <v>0</v>
      </c>
      <c r="P82" s="11">
        <f>+'7'!C30</f>
        <v>0</v>
      </c>
      <c r="Q82" s="11">
        <f>+'7'!D30</f>
        <v>0</v>
      </c>
      <c r="R82" s="13">
        <f>+'7'!E30</f>
        <v>0</v>
      </c>
      <c r="T82" s="10">
        <f>+'4'!D1</f>
        <v>46146</v>
      </c>
      <c r="U82" s="56" t="str">
        <f>+'4'!A55</f>
        <v/>
      </c>
      <c r="V82" s="56">
        <f>+'4'!B55</f>
        <v>0</v>
      </c>
      <c r="W82" s="56">
        <f>+'4'!C55</f>
        <v>0</v>
      </c>
      <c r="X82" s="56">
        <f>+'4'!D55</f>
        <v>0</v>
      </c>
      <c r="Y82" s="61">
        <f>+'4'!E55</f>
        <v>0</v>
      </c>
      <c r="AA82" s="10">
        <f>+'27'!D1</f>
        <v>46169</v>
      </c>
      <c r="AB82" s="56">
        <f>+'27'!D58</f>
        <v>0</v>
      </c>
      <c r="AC82" s="62">
        <f>+'27'!E58</f>
        <v>0</v>
      </c>
    </row>
    <row r="83" spans="6:29">
      <c r="F83" s="10">
        <f>+'9'!D1</f>
        <v>46151</v>
      </c>
      <c r="G83" s="11" t="str">
        <f>+'9'!A3</f>
        <v/>
      </c>
      <c r="H83" s="11">
        <f>+'9'!B3</f>
        <v>0</v>
      </c>
      <c r="I83" s="11">
        <f>+'9'!C3</f>
        <v>0</v>
      </c>
      <c r="J83" s="11">
        <f>+'9'!D3</f>
        <v>0</v>
      </c>
      <c r="K83" s="13">
        <f>+'9'!E3</f>
        <v>0</v>
      </c>
      <c r="M83" s="10">
        <f>+'7'!D1</f>
        <v>46149</v>
      </c>
      <c r="N83" s="11" t="str">
        <f>+'7'!A31</f>
        <v/>
      </c>
      <c r="O83" s="11">
        <f>+'7'!B31</f>
        <v>0</v>
      </c>
      <c r="P83" s="11">
        <f>+'7'!C31</f>
        <v>0</v>
      </c>
      <c r="Q83" s="11">
        <f>+'7'!D31</f>
        <v>0</v>
      </c>
      <c r="R83" s="13">
        <f>+'7'!E31</f>
        <v>0</v>
      </c>
      <c r="T83" s="10">
        <f>+'5'!D1</f>
        <v>46147</v>
      </c>
      <c r="U83" s="56" t="str">
        <f>+'5'!A36</f>
        <v/>
      </c>
      <c r="V83" s="56">
        <f>+'5'!B36</f>
        <v>0</v>
      </c>
      <c r="W83" s="56">
        <f>+'5'!C36</f>
        <v>0</v>
      </c>
      <c r="X83" s="56">
        <f>+'5'!D36</f>
        <v>0</v>
      </c>
      <c r="Y83" s="61">
        <f>+'5'!E36</f>
        <v>0</v>
      </c>
      <c r="AA83" s="10">
        <f>+'27'!D1</f>
        <v>46169</v>
      </c>
      <c r="AB83" s="56">
        <f>+'27'!D59</f>
        <v>0</v>
      </c>
      <c r="AC83" s="62">
        <f>+'27'!E59</f>
        <v>0</v>
      </c>
    </row>
    <row r="84" spans="6:29">
      <c r="F84" s="10">
        <f>+'9'!D1</f>
        <v>46151</v>
      </c>
      <c r="G84" s="11" t="str">
        <f>+'9'!A4</f>
        <v/>
      </c>
      <c r="H84" s="11">
        <f>+'9'!B4</f>
        <v>0</v>
      </c>
      <c r="I84" s="11">
        <f>+'9'!C4</f>
        <v>0</v>
      </c>
      <c r="J84" s="11">
        <f>+'9'!D4</f>
        <v>0</v>
      </c>
      <c r="K84" s="13">
        <f>+'9'!E4</f>
        <v>0</v>
      </c>
      <c r="M84" s="10">
        <f>+'7'!D1</f>
        <v>46149</v>
      </c>
      <c r="N84" s="11" t="str">
        <f>+'7'!A32</f>
        <v/>
      </c>
      <c r="O84" s="11">
        <f>+'7'!B32</f>
        <v>0</v>
      </c>
      <c r="P84" s="11">
        <f>+'7'!C32</f>
        <v>0</v>
      </c>
      <c r="Q84" s="11">
        <f>+'7'!D32</f>
        <v>0</v>
      </c>
      <c r="R84" s="13">
        <f>+'7'!E32</f>
        <v>0</v>
      </c>
      <c r="T84" s="10">
        <f>+'5'!D1</f>
        <v>46147</v>
      </c>
      <c r="U84" s="56" t="str">
        <f>+'5'!A37</f>
        <v/>
      </c>
      <c r="V84" s="56">
        <f>+'5'!B37</f>
        <v>0</v>
      </c>
      <c r="W84" s="56">
        <f>+'5'!C37</f>
        <v>0</v>
      </c>
      <c r="X84" s="56">
        <f>+'5'!D37</f>
        <v>0</v>
      </c>
      <c r="Y84" s="61">
        <f>+'5'!E37</f>
        <v>0</v>
      </c>
      <c r="AA84" s="10">
        <f>+'28'!D1</f>
        <v>46170</v>
      </c>
      <c r="AB84" s="56">
        <f>+'28'!D57</f>
        <v>0</v>
      </c>
      <c r="AC84" s="62">
        <f>+'28'!E57</f>
        <v>0</v>
      </c>
    </row>
    <row r="85" spans="6:29">
      <c r="F85" s="10">
        <f>+'9'!D1</f>
        <v>46151</v>
      </c>
      <c r="G85" s="11" t="str">
        <f>+'9'!A5</f>
        <v/>
      </c>
      <c r="H85" s="11">
        <f>+'9'!B5</f>
        <v>0</v>
      </c>
      <c r="I85" s="11">
        <f>+'9'!C5</f>
        <v>0</v>
      </c>
      <c r="J85" s="11">
        <f>+'9'!D5</f>
        <v>0</v>
      </c>
      <c r="K85" s="13">
        <f>+'9'!E5</f>
        <v>0</v>
      </c>
      <c r="M85" s="10">
        <f>+'7'!D1</f>
        <v>46149</v>
      </c>
      <c r="N85" s="11" t="str">
        <f>+'7'!A33</f>
        <v/>
      </c>
      <c r="O85" s="11">
        <f>+'7'!B33</f>
        <v>0</v>
      </c>
      <c r="P85" s="11">
        <f>+'7'!C33</f>
        <v>0</v>
      </c>
      <c r="Q85" s="11">
        <f>+'7'!D33</f>
        <v>0</v>
      </c>
      <c r="R85" s="13">
        <f>+'7'!E33</f>
        <v>0</v>
      </c>
      <c r="T85" s="10">
        <f>+'5'!D1</f>
        <v>46147</v>
      </c>
      <c r="U85" s="56" t="str">
        <f>+'5'!A38</f>
        <v/>
      </c>
      <c r="V85" s="56">
        <f>+'5'!B38</f>
        <v>0</v>
      </c>
      <c r="W85" s="56">
        <f>+'5'!C38</f>
        <v>0</v>
      </c>
      <c r="X85" s="56">
        <f>+'5'!D38</f>
        <v>0</v>
      </c>
      <c r="Y85" s="61">
        <f>+'5'!E38</f>
        <v>0</v>
      </c>
      <c r="AA85" s="10">
        <f>+'28'!D1</f>
        <v>46170</v>
      </c>
      <c r="AB85" s="56">
        <f>+'28'!D58</f>
        <v>0</v>
      </c>
      <c r="AC85" s="62">
        <f>+'28'!E58</f>
        <v>0</v>
      </c>
    </row>
    <row r="86" spans="2:29">
      <c r="B86" s="82" t="s">
        <v>147</v>
      </c>
      <c r="C86" s="83" t="s">
        <v>148</v>
      </c>
      <c r="F86" s="10">
        <f>+'9'!D1</f>
        <v>46151</v>
      </c>
      <c r="G86" s="11" t="str">
        <f>+'9'!A6</f>
        <v/>
      </c>
      <c r="H86" s="11">
        <f>+'9'!B6</f>
        <v>0</v>
      </c>
      <c r="I86" s="11">
        <f>+'9'!C6</f>
        <v>0</v>
      </c>
      <c r="J86" s="11">
        <f>+'9'!D6</f>
        <v>0</v>
      </c>
      <c r="K86" s="13">
        <f>+'9'!E6</f>
        <v>0</v>
      </c>
      <c r="M86" s="10">
        <f>+'7'!D1</f>
        <v>46149</v>
      </c>
      <c r="N86" s="11" t="str">
        <f>+'7'!A34</f>
        <v/>
      </c>
      <c r="O86" s="11">
        <f>+'7'!B34</f>
        <v>0</v>
      </c>
      <c r="P86" s="11">
        <f>+'7'!C34</f>
        <v>0</v>
      </c>
      <c r="Q86" s="11">
        <f>+'7'!D34</f>
        <v>0</v>
      </c>
      <c r="R86" s="13">
        <f>+'7'!E34</f>
        <v>0</v>
      </c>
      <c r="T86" s="10">
        <f>+'5'!D1</f>
        <v>46147</v>
      </c>
      <c r="U86" s="56" t="str">
        <f>+'5'!A39</f>
        <v/>
      </c>
      <c r="V86" s="56">
        <f>+'5'!B39</f>
        <v>0</v>
      </c>
      <c r="W86" s="56">
        <f>+'5'!C39</f>
        <v>0</v>
      </c>
      <c r="X86" s="56">
        <f>+'5'!D39</f>
        <v>0</v>
      </c>
      <c r="Y86" s="61">
        <f>+'5'!E39</f>
        <v>0</v>
      </c>
      <c r="AA86" s="10">
        <f>+'28'!D1</f>
        <v>46170</v>
      </c>
      <c r="AB86" s="56">
        <f>+'28'!D59</f>
        <v>0</v>
      </c>
      <c r="AC86" s="62">
        <f>+'28'!E59</f>
        <v>0</v>
      </c>
    </row>
    <row r="87" spans="2:29">
      <c r="B87" s="27" t="s">
        <v>149</v>
      </c>
      <c r="C87" s="13">
        <f>SUMIF(B2:B64,B87,C2:C64)</f>
        <v>0</v>
      </c>
      <c r="F87" s="10">
        <f>+'9'!D1</f>
        <v>46151</v>
      </c>
      <c r="G87" s="11" t="str">
        <f>+'9'!A7</f>
        <v/>
      </c>
      <c r="H87" s="11">
        <f>+'9'!B7</f>
        <v>0</v>
      </c>
      <c r="I87" s="11">
        <f>+'9'!C7</f>
        <v>0</v>
      </c>
      <c r="J87" s="11">
        <f>+'9'!D7</f>
        <v>0</v>
      </c>
      <c r="K87" s="13">
        <f>+'9'!E7</f>
        <v>0</v>
      </c>
      <c r="M87" s="10">
        <f>+'8'!D1</f>
        <v>46150</v>
      </c>
      <c r="N87" s="11" t="str">
        <f>+'8'!A23</f>
        <v/>
      </c>
      <c r="O87" s="11">
        <f>+'8'!B23</f>
        <v>0</v>
      </c>
      <c r="P87" s="11">
        <f>+'8'!C23</f>
        <v>0</v>
      </c>
      <c r="Q87" s="11">
        <f>+'8'!D23</f>
        <v>0</v>
      </c>
      <c r="R87" s="13">
        <f>+'8'!E23</f>
        <v>0</v>
      </c>
      <c r="T87" s="10">
        <f>+'5'!D1</f>
        <v>46147</v>
      </c>
      <c r="U87" s="56" t="str">
        <f>+'5'!A40</f>
        <v/>
      </c>
      <c r="V87" s="56">
        <f>+'5'!B40</f>
        <v>0</v>
      </c>
      <c r="W87" s="56">
        <f>+'5'!C40</f>
        <v>0</v>
      </c>
      <c r="X87" s="56">
        <f>+'5'!D40</f>
        <v>0</v>
      </c>
      <c r="Y87" s="61">
        <f>+'5'!E40</f>
        <v>0</v>
      </c>
      <c r="AA87" s="10">
        <f>+'29'!D1</f>
        <v>46171</v>
      </c>
      <c r="AB87" s="56">
        <f>+'29'!D57</f>
        <v>0</v>
      </c>
      <c r="AC87" s="62">
        <f>+'29'!E57</f>
        <v>0</v>
      </c>
    </row>
    <row r="88" spans="2:29">
      <c r="B88" s="27" t="s">
        <v>150</v>
      </c>
      <c r="C88" s="13">
        <f>SUMIF(B3:B62,B88,C3:C62)</f>
        <v>0</v>
      </c>
      <c r="F88" s="10">
        <f>+'9'!D1</f>
        <v>46151</v>
      </c>
      <c r="G88" s="11" t="str">
        <f>+'9'!A8</f>
        <v/>
      </c>
      <c r="H88" s="11">
        <f>+'9'!B8</f>
        <v>0</v>
      </c>
      <c r="I88" s="11">
        <f>+'9'!C8</f>
        <v>0</v>
      </c>
      <c r="J88" s="11">
        <f>+'9'!D8</f>
        <v>0</v>
      </c>
      <c r="K88" s="13">
        <f>+'9'!E8</f>
        <v>0</v>
      </c>
      <c r="M88" s="10">
        <f>+'8'!D1</f>
        <v>46150</v>
      </c>
      <c r="N88" s="11" t="str">
        <f>+'8'!A24</f>
        <v/>
      </c>
      <c r="O88" s="11">
        <f>+'8'!B24</f>
        <v>0</v>
      </c>
      <c r="P88" s="11">
        <f>+'8'!C24</f>
        <v>0</v>
      </c>
      <c r="Q88" s="11">
        <f>+'8'!D24</f>
        <v>0</v>
      </c>
      <c r="R88" s="13">
        <f>+'8'!E24</f>
        <v>0</v>
      </c>
      <c r="T88" s="10">
        <f>+'5'!D1</f>
        <v>46147</v>
      </c>
      <c r="U88" s="56" t="str">
        <f>+'5'!A41</f>
        <v/>
      </c>
      <c r="V88" s="56">
        <f>+'5'!B41</f>
        <v>0</v>
      </c>
      <c r="W88" s="56">
        <f>+'5'!C41</f>
        <v>0</v>
      </c>
      <c r="X88" s="56">
        <f>+'5'!D41</f>
        <v>0</v>
      </c>
      <c r="Y88" s="61">
        <f>+'5'!E41</f>
        <v>0</v>
      </c>
      <c r="AA88" s="10">
        <f>+'29'!D1</f>
        <v>46171</v>
      </c>
      <c r="AB88" s="56">
        <f>+'29'!D58</f>
        <v>0</v>
      </c>
      <c r="AC88" s="62">
        <f>+'29'!E58</f>
        <v>0</v>
      </c>
    </row>
    <row r="89" spans="2:29">
      <c r="B89" s="27" t="s">
        <v>151</v>
      </c>
      <c r="C89" s="13">
        <f>SUMIF(B4:B63,B89,C4:C63)</f>
        <v>0</v>
      </c>
      <c r="F89" s="10">
        <f>+'9'!D1</f>
        <v>46151</v>
      </c>
      <c r="G89" s="11" t="str">
        <f>+'9'!A9</f>
        <v/>
      </c>
      <c r="H89" s="11">
        <f>+'9'!B9</f>
        <v>0</v>
      </c>
      <c r="I89" s="11">
        <f>+'9'!C9</f>
        <v>0</v>
      </c>
      <c r="J89" s="11" t="str">
        <f>+'9'!D9</f>
        <v> </v>
      </c>
      <c r="K89" s="13">
        <f>+'9'!E9</f>
        <v>0</v>
      </c>
      <c r="M89" s="10">
        <f>+'8'!D1</f>
        <v>46150</v>
      </c>
      <c r="N89" s="11" t="str">
        <f>+'8'!A25</f>
        <v/>
      </c>
      <c r="O89" s="11">
        <f>+'8'!B25</f>
        <v>0</v>
      </c>
      <c r="P89" s="11">
        <f>+'8'!C25</f>
        <v>0</v>
      </c>
      <c r="Q89" s="11">
        <f>+'8'!D25</f>
        <v>0</v>
      </c>
      <c r="R89" s="13">
        <f>+'8'!E25</f>
        <v>0</v>
      </c>
      <c r="T89" s="10">
        <f>+'5'!D1</f>
        <v>46147</v>
      </c>
      <c r="U89" s="56" t="str">
        <f>+'5'!A42</f>
        <v/>
      </c>
      <c r="V89" s="56">
        <f>+'5'!B42</f>
        <v>0</v>
      </c>
      <c r="W89" s="56">
        <f>+'5'!C42</f>
        <v>0</v>
      </c>
      <c r="X89" s="56">
        <f>+'5'!D42</f>
        <v>0</v>
      </c>
      <c r="Y89" s="61">
        <f>+'5'!E42</f>
        <v>0</v>
      </c>
      <c r="AA89" s="10">
        <f>+'29'!D1</f>
        <v>46171</v>
      </c>
      <c r="AB89" s="56">
        <f>+'29'!D59</f>
        <v>0</v>
      </c>
      <c r="AC89" s="62">
        <f>+'29'!E59</f>
        <v>0</v>
      </c>
    </row>
    <row r="90" spans="2:29">
      <c r="B90" s="27" t="s">
        <v>152</v>
      </c>
      <c r="C90" s="13">
        <f>SUMIF(B5:B64,B90,C5:C64)</f>
        <v>0</v>
      </c>
      <c r="F90" s="10">
        <f>+'9'!D1</f>
        <v>46151</v>
      </c>
      <c r="G90" s="11" t="str">
        <f>+'9'!A10</f>
        <v/>
      </c>
      <c r="H90" s="11">
        <f>+'9'!B10</f>
        <v>0</v>
      </c>
      <c r="I90" s="11">
        <f>+'9'!C10</f>
        <v>0</v>
      </c>
      <c r="J90" s="11">
        <f>+'9'!D10</f>
        <v>0</v>
      </c>
      <c r="K90" s="13">
        <f>+'9'!E10</f>
        <v>0</v>
      </c>
      <c r="M90" s="10">
        <f>+'8'!D1</f>
        <v>46150</v>
      </c>
      <c r="N90" s="11" t="str">
        <f>+'8'!A26</f>
        <v/>
      </c>
      <c r="O90" s="11">
        <f>+'8'!B26</f>
        <v>0</v>
      </c>
      <c r="P90" s="11">
        <f>+'8'!C26</f>
        <v>0</v>
      </c>
      <c r="Q90" s="11">
        <f>+'8'!D26</f>
        <v>0</v>
      </c>
      <c r="R90" s="13">
        <f>+'8'!E26</f>
        <v>0</v>
      </c>
      <c r="T90" s="10">
        <f>+'5'!D1</f>
        <v>46147</v>
      </c>
      <c r="U90" s="56" t="str">
        <f>+'5'!A43</f>
        <v/>
      </c>
      <c r="V90" s="56">
        <f>+'5'!B43</f>
        <v>0</v>
      </c>
      <c r="W90" s="56">
        <f>+'5'!C43</f>
        <v>0</v>
      </c>
      <c r="X90" s="56">
        <f>+'5'!D43</f>
        <v>0</v>
      </c>
      <c r="Y90" s="61">
        <f>+'5'!E43</f>
        <v>0</v>
      </c>
      <c r="AA90" s="10">
        <f>+'30'!D1</f>
        <v>46172</v>
      </c>
      <c r="AB90" s="56">
        <f>+'30'!D57</f>
        <v>0</v>
      </c>
      <c r="AC90" s="62">
        <f>+'30'!E57</f>
        <v>0</v>
      </c>
    </row>
    <row r="91" spans="2:29">
      <c r="B91" s="27" t="s">
        <v>153</v>
      </c>
      <c r="C91" s="13">
        <f t="shared" ref="C91:C103" si="2">SUMIF(B6:B64,B91,C6:C64)</f>
        <v>0</v>
      </c>
      <c r="F91" s="10">
        <f>+'9'!D1</f>
        <v>46151</v>
      </c>
      <c r="G91" s="11" t="str">
        <f>+'9'!A11</f>
        <v/>
      </c>
      <c r="H91" s="11">
        <f>+'9'!B11</f>
        <v>0</v>
      </c>
      <c r="I91" s="11">
        <f>+'9'!C11</f>
        <v>0</v>
      </c>
      <c r="J91" s="11">
        <f>+'9'!D11</f>
        <v>0</v>
      </c>
      <c r="K91" s="13">
        <f>+'9'!E11</f>
        <v>0</v>
      </c>
      <c r="M91" s="10">
        <f>+'8'!D1</f>
        <v>46150</v>
      </c>
      <c r="N91" s="11" t="str">
        <f>+'8'!A27</f>
        <v/>
      </c>
      <c r="O91" s="11">
        <f>+'8'!B27</f>
        <v>0</v>
      </c>
      <c r="P91" s="11">
        <f>+'8'!C27</f>
        <v>0</v>
      </c>
      <c r="Q91" s="11">
        <f>+'8'!D27</f>
        <v>0</v>
      </c>
      <c r="R91" s="13">
        <f>+'8'!E27</f>
        <v>0</v>
      </c>
      <c r="T91" s="10">
        <f>+'5'!D1</f>
        <v>46147</v>
      </c>
      <c r="U91" s="56" t="str">
        <f>+'5'!A44</f>
        <v/>
      </c>
      <c r="V91" s="56">
        <f>+'5'!B44</f>
        <v>0</v>
      </c>
      <c r="W91" s="56">
        <f>+'5'!C44</f>
        <v>0</v>
      </c>
      <c r="X91" s="56">
        <f>+'5'!D44</f>
        <v>0</v>
      </c>
      <c r="Y91" s="61">
        <f>+'5'!E44</f>
        <v>0</v>
      </c>
      <c r="AA91" s="10">
        <f>+'30'!D1</f>
        <v>46172</v>
      </c>
      <c r="AB91" s="56">
        <f>+'30'!D58</f>
        <v>0</v>
      </c>
      <c r="AC91" s="62">
        <f>+'30'!E58</f>
        <v>0</v>
      </c>
    </row>
    <row r="92" spans="2:29">
      <c r="B92" s="27" t="s">
        <v>154</v>
      </c>
      <c r="C92" s="13">
        <f t="shared" si="2"/>
        <v>0</v>
      </c>
      <c r="F92" s="10">
        <f>+'9'!D1</f>
        <v>46151</v>
      </c>
      <c r="G92" s="11" t="str">
        <f>+'9'!A12</f>
        <v/>
      </c>
      <c r="H92" s="11">
        <f>+'9'!B12</f>
        <v>0</v>
      </c>
      <c r="I92" s="11">
        <f>+'9'!C12</f>
        <v>0</v>
      </c>
      <c r="J92" s="11">
        <f>+'9'!D12</f>
        <v>0</v>
      </c>
      <c r="K92" s="13">
        <f>+'9'!E12</f>
        <v>0</v>
      </c>
      <c r="M92" s="10">
        <f>+'8'!D1</f>
        <v>46150</v>
      </c>
      <c r="N92" s="11" t="str">
        <f>+'8'!A28</f>
        <v/>
      </c>
      <c r="O92" s="11">
        <f>+'8'!B28</f>
        <v>0</v>
      </c>
      <c r="P92" s="11">
        <f>+'8'!C28</f>
        <v>0</v>
      </c>
      <c r="Q92" s="11">
        <f>+'8'!D28</f>
        <v>0</v>
      </c>
      <c r="R92" s="13">
        <f>+'8'!E28</f>
        <v>0</v>
      </c>
      <c r="T92" s="10">
        <f>+'5'!D1</f>
        <v>46147</v>
      </c>
      <c r="U92" s="56" t="str">
        <f>+'5'!A45</f>
        <v/>
      </c>
      <c r="V92" s="56">
        <f>+'5'!B45</f>
        <v>0</v>
      </c>
      <c r="W92" s="56">
        <f>+'5'!C45</f>
        <v>0</v>
      </c>
      <c r="X92" s="56">
        <f>+'5'!D45</f>
        <v>0</v>
      </c>
      <c r="Y92" s="61">
        <f>+'5'!E45</f>
        <v>0</v>
      </c>
      <c r="AA92" s="10">
        <f>+'30'!D1</f>
        <v>46172</v>
      </c>
      <c r="AB92" s="56">
        <f>+'30'!D59</f>
        <v>0</v>
      </c>
      <c r="AC92" s="62">
        <f>+'30'!E59</f>
        <v>0</v>
      </c>
    </row>
    <row r="93" spans="2:29">
      <c r="B93" s="27" t="s">
        <v>155</v>
      </c>
      <c r="C93" s="13">
        <f t="shared" si="2"/>
        <v>0</v>
      </c>
      <c r="F93" s="10">
        <f>+'10'!D1</f>
        <v>46152</v>
      </c>
      <c r="G93" s="11" t="str">
        <f>+'10'!A3</f>
        <v/>
      </c>
      <c r="H93" s="11">
        <f>+'10'!B3</f>
        <v>0</v>
      </c>
      <c r="I93" s="11">
        <f>+'10'!C3</f>
        <v>0</v>
      </c>
      <c r="J93" s="11">
        <f>+'10'!D3</f>
        <v>0</v>
      </c>
      <c r="K93" s="13">
        <f>+'10'!E3</f>
        <v>0</v>
      </c>
      <c r="M93" s="10">
        <f>+'8'!D1</f>
        <v>46150</v>
      </c>
      <c r="N93" s="11" t="str">
        <f>+'8'!A29</f>
        <v/>
      </c>
      <c r="O93" s="11">
        <f>+'8'!B29</f>
        <v>0</v>
      </c>
      <c r="P93" s="11">
        <f>+'8'!C29</f>
        <v>0</v>
      </c>
      <c r="Q93" s="11">
        <f>+'8'!D29</f>
        <v>0</v>
      </c>
      <c r="R93" s="13">
        <f>+'8'!E29</f>
        <v>0</v>
      </c>
      <c r="T93" s="10">
        <f>+'5'!D1</f>
        <v>46147</v>
      </c>
      <c r="U93" s="56" t="str">
        <f>+'5'!A46</f>
        <v/>
      </c>
      <c r="V93" s="56">
        <f>+'5'!B46</f>
        <v>0</v>
      </c>
      <c r="W93" s="56">
        <f>+'5'!C46</f>
        <v>0</v>
      </c>
      <c r="X93" s="56">
        <f>+'5'!D46</f>
        <v>0</v>
      </c>
      <c r="Y93" s="61">
        <f>+'5'!E46</f>
        <v>0</v>
      </c>
      <c r="AA93" s="10">
        <f>+'31'!D1</f>
        <v>46173</v>
      </c>
      <c r="AB93" s="56">
        <f>+'31'!D57</f>
        <v>0</v>
      </c>
      <c r="AC93" s="62">
        <f>+'31'!E57</f>
        <v>0</v>
      </c>
    </row>
    <row r="94" spans="2:29">
      <c r="B94" s="27" t="s">
        <v>156</v>
      </c>
      <c r="C94" s="13">
        <f t="shared" si="2"/>
        <v>0</v>
      </c>
      <c r="F94" s="10">
        <f>+'10'!D1</f>
        <v>46152</v>
      </c>
      <c r="G94" s="11" t="str">
        <f>+'10'!A4</f>
        <v/>
      </c>
      <c r="H94" s="11">
        <f>+'10'!B4</f>
        <v>0</v>
      </c>
      <c r="I94" s="11">
        <f>+'10'!C4</f>
        <v>0</v>
      </c>
      <c r="J94" s="11">
        <f>+'10'!D4</f>
        <v>0</v>
      </c>
      <c r="K94" s="13">
        <f>+'10'!E4</f>
        <v>0</v>
      </c>
      <c r="M94" s="10">
        <f>+'8'!D1</f>
        <v>46150</v>
      </c>
      <c r="N94" s="11" t="str">
        <f>+'8'!A30</f>
        <v/>
      </c>
      <c r="O94" s="11">
        <f>+'8'!B30</f>
        <v>0</v>
      </c>
      <c r="P94" s="11">
        <f>+'8'!C30</f>
        <v>0</v>
      </c>
      <c r="Q94" s="11">
        <f>+'8'!D30</f>
        <v>0</v>
      </c>
      <c r="R94" s="13">
        <f>+'8'!E30</f>
        <v>0</v>
      </c>
      <c r="T94" s="10">
        <f>+'5'!D1</f>
        <v>46147</v>
      </c>
      <c r="U94" s="56" t="str">
        <f>+'5'!A47</f>
        <v/>
      </c>
      <c r="V94" s="56">
        <f>+'5'!B47</f>
        <v>0</v>
      </c>
      <c r="W94" s="56">
        <f>+'5'!C47</f>
        <v>0</v>
      </c>
      <c r="X94" s="56">
        <f>+'5'!D47</f>
        <v>0</v>
      </c>
      <c r="Y94" s="61">
        <f>+'5'!E47</f>
        <v>0</v>
      </c>
      <c r="AA94" s="10">
        <f>+'31'!D1</f>
        <v>46173</v>
      </c>
      <c r="AB94" s="56">
        <f>+'31'!D58</f>
        <v>0</v>
      </c>
      <c r="AC94" s="62">
        <f>+'31'!E58</f>
        <v>0</v>
      </c>
    </row>
    <row r="95" spans="2:29">
      <c r="B95" s="27" t="s">
        <v>157</v>
      </c>
      <c r="C95" s="13">
        <f t="shared" si="2"/>
        <v>0</v>
      </c>
      <c r="F95" s="10">
        <f>+'10'!D1</f>
        <v>46152</v>
      </c>
      <c r="G95" s="11" t="str">
        <f>+'10'!A5</f>
        <v/>
      </c>
      <c r="H95" s="11">
        <f>+'10'!B5</f>
        <v>0</v>
      </c>
      <c r="I95" s="11">
        <f>+'10'!C5</f>
        <v>0</v>
      </c>
      <c r="J95" s="11">
        <f>+'10'!D5</f>
        <v>0</v>
      </c>
      <c r="K95" s="13">
        <f>+'10'!E5</f>
        <v>0</v>
      </c>
      <c r="M95" s="10">
        <f>+'8'!D1</f>
        <v>46150</v>
      </c>
      <c r="N95" s="11" t="str">
        <f>+'8'!A31</f>
        <v/>
      </c>
      <c r="O95" s="11">
        <f>+'8'!B31</f>
        <v>0</v>
      </c>
      <c r="P95" s="11">
        <f>+'8'!C31</f>
        <v>0</v>
      </c>
      <c r="Q95" s="11">
        <f>+'8'!D31</f>
        <v>0</v>
      </c>
      <c r="R95" s="13">
        <f>+'8'!E31</f>
        <v>0</v>
      </c>
      <c r="T95" s="10">
        <f>+'5'!D1</f>
        <v>46147</v>
      </c>
      <c r="U95" s="56" t="str">
        <f>+'5'!A48</f>
        <v/>
      </c>
      <c r="V95" s="56">
        <f>+'5'!B48</f>
        <v>0</v>
      </c>
      <c r="W95" s="56">
        <f>+'5'!C48</f>
        <v>0</v>
      </c>
      <c r="X95" s="56">
        <f>+'5'!D48</f>
        <v>0</v>
      </c>
      <c r="Y95" s="61">
        <f>+'5'!E48</f>
        <v>0</v>
      </c>
      <c r="AA95" s="10">
        <f>+'31'!D1</f>
        <v>46173</v>
      </c>
      <c r="AB95" s="56">
        <f>+'31'!D59</f>
        <v>0</v>
      </c>
      <c r="AC95" s="62">
        <f>+'31'!E59</f>
        <v>0</v>
      </c>
    </row>
    <row r="96" spans="2:29">
      <c r="B96" s="27" t="s">
        <v>158</v>
      </c>
      <c r="C96" s="13">
        <f t="shared" si="2"/>
        <v>0</v>
      </c>
      <c r="F96" s="10">
        <f>+'10'!D1</f>
        <v>46152</v>
      </c>
      <c r="G96" s="11" t="str">
        <f>+'10'!A6</f>
        <v/>
      </c>
      <c r="H96" s="11">
        <f>+'10'!B6</f>
        <v>0</v>
      </c>
      <c r="I96" s="11">
        <f>+'10'!C6</f>
        <v>0</v>
      </c>
      <c r="J96" s="11">
        <f>+'10'!D6</f>
        <v>0</v>
      </c>
      <c r="K96" s="13">
        <f>+'10'!E6</f>
        <v>0</v>
      </c>
      <c r="M96" s="10">
        <f>+'8'!D1</f>
        <v>46150</v>
      </c>
      <c r="N96" s="11" t="str">
        <f>+'8'!A32</f>
        <v/>
      </c>
      <c r="O96" s="11">
        <f>+'8'!B32</f>
        <v>0</v>
      </c>
      <c r="P96" s="11">
        <f>+'8'!C32</f>
        <v>0</v>
      </c>
      <c r="Q96" s="11">
        <f>+'8'!D32</f>
        <v>0</v>
      </c>
      <c r="R96" s="13">
        <f>+'8'!E32</f>
        <v>0</v>
      </c>
      <c r="T96" s="10">
        <f>+'5'!D1</f>
        <v>46147</v>
      </c>
      <c r="U96" s="56" t="str">
        <f>+'5'!A49</f>
        <v/>
      </c>
      <c r="V96" s="56">
        <f>+'5'!B49</f>
        <v>0</v>
      </c>
      <c r="W96" s="56">
        <f>+'5'!C49</f>
        <v>0</v>
      </c>
      <c r="X96" s="56">
        <f>+'5'!D49</f>
        <v>0</v>
      </c>
      <c r="Y96" s="61">
        <f>+'5'!E49</f>
        <v>0</v>
      </c>
      <c r="AB96" s="56"/>
      <c r="AC96" s="62"/>
    </row>
    <row r="97" spans="2:29">
      <c r="B97" s="27" t="s">
        <v>159</v>
      </c>
      <c r="C97" s="13">
        <f t="shared" si="2"/>
        <v>0</v>
      </c>
      <c r="F97" s="10">
        <f>+'10'!D1</f>
        <v>46152</v>
      </c>
      <c r="G97" s="11" t="str">
        <f>+'10'!A7</f>
        <v/>
      </c>
      <c r="H97" s="11">
        <f>+'10'!B7</f>
        <v>0</v>
      </c>
      <c r="I97" s="11">
        <f>+'10'!C7</f>
        <v>0</v>
      </c>
      <c r="J97" s="11">
        <f>+'10'!D7</f>
        <v>0</v>
      </c>
      <c r="K97" s="13">
        <f>+'10'!E7</f>
        <v>0</v>
      </c>
      <c r="M97" s="10">
        <f>+'8'!D1</f>
        <v>46150</v>
      </c>
      <c r="N97" s="11" t="str">
        <f>+'8'!A33</f>
        <v/>
      </c>
      <c r="O97" s="11">
        <f>+'8'!B33</f>
        <v>0</v>
      </c>
      <c r="P97" s="11">
        <f>+'8'!C33</f>
        <v>0</v>
      </c>
      <c r="Q97" s="11">
        <f>+'8'!D33</f>
        <v>0</v>
      </c>
      <c r="R97" s="13">
        <f>+'8'!E33</f>
        <v>0</v>
      </c>
      <c r="T97" s="10">
        <f>+'5'!D1</f>
        <v>46147</v>
      </c>
      <c r="U97" s="56" t="str">
        <f>+'5'!A50</f>
        <v/>
      </c>
      <c r="V97" s="56">
        <f>+'5'!B50</f>
        <v>0</v>
      </c>
      <c r="W97" s="56">
        <f>+'5'!C50</f>
        <v>0</v>
      </c>
      <c r="X97" s="56">
        <f>+'5'!D50</f>
        <v>0</v>
      </c>
      <c r="Y97" s="61">
        <f>+'5'!E50</f>
        <v>0</v>
      </c>
      <c r="AB97" s="56"/>
      <c r="AC97" s="62"/>
    </row>
    <row r="98" spans="2:29">
      <c r="B98" s="27" t="s">
        <v>160</v>
      </c>
      <c r="C98" s="13">
        <f t="shared" si="2"/>
        <v>0</v>
      </c>
      <c r="F98" s="10">
        <f>+'10'!D1</f>
        <v>46152</v>
      </c>
      <c r="G98" s="11" t="str">
        <f>+'10'!A8</f>
        <v/>
      </c>
      <c r="H98" s="11">
        <f>+'10'!B8</f>
        <v>0</v>
      </c>
      <c r="I98" s="11">
        <f>+'10'!C8</f>
        <v>0</v>
      </c>
      <c r="J98" s="11">
        <f>+'10'!D8</f>
        <v>0</v>
      </c>
      <c r="K98" s="13">
        <f>+'10'!E8</f>
        <v>0</v>
      </c>
      <c r="M98" s="10">
        <f>+'8'!D1</f>
        <v>46150</v>
      </c>
      <c r="N98" s="11" t="str">
        <f>+'8'!A34</f>
        <v/>
      </c>
      <c r="O98" s="11">
        <f>+'8'!B34</f>
        <v>0</v>
      </c>
      <c r="P98" s="11">
        <f>+'8'!C34</f>
        <v>0</v>
      </c>
      <c r="Q98" s="11">
        <f>+'8'!D34</f>
        <v>0</v>
      </c>
      <c r="R98" s="13">
        <f>+'8'!E34</f>
        <v>0</v>
      </c>
      <c r="T98" s="10">
        <f>+'5'!D1</f>
        <v>46147</v>
      </c>
      <c r="U98" s="56" t="str">
        <f>+'5'!A51</f>
        <v/>
      </c>
      <c r="V98" s="56">
        <f>+'5'!B51</f>
        <v>0</v>
      </c>
      <c r="W98" s="56">
        <f>+'5'!C51</f>
        <v>0</v>
      </c>
      <c r="X98" s="56">
        <f>+'5'!D51</f>
        <v>0</v>
      </c>
      <c r="Y98" s="61">
        <f>+'5'!E51</f>
        <v>0</v>
      </c>
      <c r="AB98" s="56"/>
      <c r="AC98" s="62"/>
    </row>
    <row r="99" spans="2:29">
      <c r="B99" s="27" t="s">
        <v>161</v>
      </c>
      <c r="C99" s="13">
        <f t="shared" si="2"/>
        <v>0</v>
      </c>
      <c r="F99" s="10">
        <f>+'10'!D1</f>
        <v>46152</v>
      </c>
      <c r="G99" s="11" t="str">
        <f>+'10'!A9</f>
        <v/>
      </c>
      <c r="H99" s="11">
        <f>+'10'!B9</f>
        <v>0</v>
      </c>
      <c r="I99" s="11">
        <f>+'10'!C9</f>
        <v>0</v>
      </c>
      <c r="J99" s="11" t="str">
        <f>+'10'!D9</f>
        <v> </v>
      </c>
      <c r="K99" s="13">
        <f>+'10'!E9</f>
        <v>0</v>
      </c>
      <c r="M99" s="10">
        <f>+'9'!D1</f>
        <v>46151</v>
      </c>
      <c r="N99" s="11" t="str">
        <f>+'9'!A23</f>
        <v/>
      </c>
      <c r="O99" s="11">
        <f>+'9'!B23</f>
        <v>0</v>
      </c>
      <c r="P99" s="11">
        <f>+'9'!C23</f>
        <v>0</v>
      </c>
      <c r="Q99" s="11">
        <f>+'9'!D23</f>
        <v>0</v>
      </c>
      <c r="R99" s="13">
        <f>+'9'!E23</f>
        <v>0</v>
      </c>
      <c r="T99" s="10">
        <f>+'5'!D1</f>
        <v>46147</v>
      </c>
      <c r="U99" s="56" t="str">
        <f>+'5'!A52</f>
        <v/>
      </c>
      <c r="V99" s="56">
        <f>+'5'!B52</f>
        <v>0</v>
      </c>
      <c r="W99" s="56">
        <f>+'5'!C52</f>
        <v>0</v>
      </c>
      <c r="X99" s="56">
        <f>+'5'!D52</f>
        <v>0</v>
      </c>
      <c r="Y99" s="61">
        <f>+'5'!E52</f>
        <v>0</v>
      </c>
      <c r="AB99" s="56"/>
      <c r="AC99" s="62"/>
    </row>
    <row r="100" spans="2:29">
      <c r="B100" s="27" t="s">
        <v>162</v>
      </c>
      <c r="C100" s="13">
        <f t="shared" si="2"/>
        <v>0</v>
      </c>
      <c r="F100" s="10">
        <f>+'10'!D1</f>
        <v>46152</v>
      </c>
      <c r="G100" s="11" t="str">
        <f>+'10'!A10</f>
        <v/>
      </c>
      <c r="H100" s="11">
        <f>+'10'!B10</f>
        <v>0</v>
      </c>
      <c r="I100" s="11">
        <f>+'10'!C10</f>
        <v>0</v>
      </c>
      <c r="J100" s="11">
        <f>+'10'!D10</f>
        <v>0</v>
      </c>
      <c r="K100" s="13">
        <f>+'10'!E10</f>
        <v>0</v>
      </c>
      <c r="M100" s="10">
        <f>+'9'!D1</f>
        <v>46151</v>
      </c>
      <c r="N100" s="11" t="str">
        <f>+'9'!A24</f>
        <v/>
      </c>
      <c r="O100" s="11">
        <f>+'9'!B24</f>
        <v>0</v>
      </c>
      <c r="P100" s="11">
        <f>+'9'!C24</f>
        <v>0</v>
      </c>
      <c r="Q100" s="11">
        <f>+'9'!D24</f>
        <v>0</v>
      </c>
      <c r="R100" s="13">
        <f>+'9'!E24</f>
        <v>0</v>
      </c>
      <c r="T100" s="10">
        <f>+'5'!D1</f>
        <v>46147</v>
      </c>
      <c r="U100" s="56" t="str">
        <f>+'5'!A53</f>
        <v/>
      </c>
      <c r="V100" s="56">
        <f>+'5'!B53</f>
        <v>0</v>
      </c>
      <c r="W100" s="56">
        <f>+'5'!C53</f>
        <v>0</v>
      </c>
      <c r="X100" s="56">
        <f>+'5'!D53</f>
        <v>0</v>
      </c>
      <c r="Y100" s="61">
        <f>+'5'!E53</f>
        <v>0</v>
      </c>
      <c r="AB100" s="56"/>
      <c r="AC100" s="62"/>
    </row>
    <row r="101" spans="2:29">
      <c r="B101" s="27" t="s">
        <v>163</v>
      </c>
      <c r="C101" s="13">
        <f t="shared" si="2"/>
        <v>0</v>
      </c>
      <c r="F101" s="10">
        <f>+'10'!D1</f>
        <v>46152</v>
      </c>
      <c r="G101" s="11" t="str">
        <f>+'10'!A11</f>
        <v/>
      </c>
      <c r="H101" s="11">
        <f>+'10'!B11</f>
        <v>0</v>
      </c>
      <c r="I101" s="11">
        <f>+'10'!C11</f>
        <v>0</v>
      </c>
      <c r="J101" s="11">
        <f>+'10'!D11</f>
        <v>0</v>
      </c>
      <c r="K101" s="13">
        <f>+'10'!E11</f>
        <v>0</v>
      </c>
      <c r="M101" s="10">
        <f>+'9'!D1</f>
        <v>46151</v>
      </c>
      <c r="N101" s="11" t="str">
        <f>+'9'!A25</f>
        <v/>
      </c>
      <c r="O101" s="11">
        <f>+'9'!B25</f>
        <v>0</v>
      </c>
      <c r="P101" s="11">
        <f>+'9'!C25</f>
        <v>0</v>
      </c>
      <c r="Q101" s="11">
        <f>+'9'!D25</f>
        <v>0</v>
      </c>
      <c r="R101" s="13">
        <f>+'9'!E25</f>
        <v>0</v>
      </c>
      <c r="T101" s="10">
        <f>+'5'!D1</f>
        <v>46147</v>
      </c>
      <c r="U101" s="56" t="str">
        <f>+'5'!A54</f>
        <v/>
      </c>
      <c r="V101" s="56">
        <f>+'5'!B54</f>
        <v>0</v>
      </c>
      <c r="W101" s="56">
        <f>+'5'!C54</f>
        <v>0</v>
      </c>
      <c r="X101" s="56">
        <f>+'5'!D54</f>
        <v>0</v>
      </c>
      <c r="Y101" s="61">
        <f>+'5'!E54</f>
        <v>0</v>
      </c>
      <c r="AB101" s="56"/>
      <c r="AC101" s="62"/>
    </row>
    <row r="102" spans="2:29">
      <c r="B102" s="27" t="s">
        <v>164</v>
      </c>
      <c r="C102" s="13">
        <f t="shared" si="2"/>
        <v>0</v>
      </c>
      <c r="F102" s="10">
        <f>+'10'!D1</f>
        <v>46152</v>
      </c>
      <c r="G102" s="11" t="str">
        <f>+'10'!A12</f>
        <v/>
      </c>
      <c r="H102" s="11">
        <f>+'10'!B12</f>
        <v>0</v>
      </c>
      <c r="I102" s="11">
        <f>+'10'!C12</f>
        <v>0</v>
      </c>
      <c r="J102" s="11">
        <f>+'10'!D12</f>
        <v>0</v>
      </c>
      <c r="K102" s="13">
        <f>+'10'!E12</f>
        <v>0</v>
      </c>
      <c r="M102" s="10">
        <f>+'9'!D1</f>
        <v>46151</v>
      </c>
      <c r="N102" s="11" t="str">
        <f>+'9'!A26</f>
        <v/>
      </c>
      <c r="O102" s="11">
        <f>+'9'!B26</f>
        <v>0</v>
      </c>
      <c r="P102" s="11">
        <f>+'9'!C26</f>
        <v>0</v>
      </c>
      <c r="Q102" s="11">
        <f>+'9'!D26</f>
        <v>0</v>
      </c>
      <c r="R102" s="13">
        <f>+'9'!E26</f>
        <v>0</v>
      </c>
      <c r="T102" s="10">
        <f>+'5'!D1</f>
        <v>46147</v>
      </c>
      <c r="U102" s="56" t="str">
        <f>+'5'!A55</f>
        <v/>
      </c>
      <c r="V102" s="56">
        <f>+'5'!B55</f>
        <v>0</v>
      </c>
      <c r="W102" s="56">
        <f>+'5'!C55</f>
        <v>0</v>
      </c>
      <c r="X102" s="56">
        <f>+'5'!D55</f>
        <v>0</v>
      </c>
      <c r="Y102" s="61">
        <f>+'5'!E55</f>
        <v>0</v>
      </c>
      <c r="AB102" s="56"/>
      <c r="AC102" s="62"/>
    </row>
    <row r="103" spans="2:29">
      <c r="B103" s="27" t="s">
        <v>165</v>
      </c>
      <c r="C103" s="13">
        <f t="shared" si="2"/>
        <v>0</v>
      </c>
      <c r="F103" s="10">
        <f>+'11'!D1</f>
        <v>46153</v>
      </c>
      <c r="G103" s="11" t="str">
        <f>+'11'!A3</f>
        <v/>
      </c>
      <c r="H103" s="11">
        <f>+'11'!B3</f>
        <v>0</v>
      </c>
      <c r="I103" s="11">
        <f>+'11'!C3</f>
        <v>0</v>
      </c>
      <c r="J103" s="11">
        <f>+'11'!D3</f>
        <v>0</v>
      </c>
      <c r="K103" s="13">
        <f>+'11'!E3</f>
        <v>0</v>
      </c>
      <c r="M103" s="10">
        <f>+'9'!D1</f>
        <v>46151</v>
      </c>
      <c r="N103" s="11" t="str">
        <f>+'9'!A27</f>
        <v/>
      </c>
      <c r="O103" s="11">
        <f>+'9'!B27</f>
        <v>0</v>
      </c>
      <c r="P103" s="11">
        <f>+'9'!C27</f>
        <v>0</v>
      </c>
      <c r="Q103" s="11">
        <f>+'9'!D27</f>
        <v>0</v>
      </c>
      <c r="R103" s="13">
        <f>+'9'!E27</f>
        <v>0</v>
      </c>
      <c r="T103" s="10">
        <f>+'6'!D1</f>
        <v>46148</v>
      </c>
      <c r="U103" s="56" t="str">
        <f>+'6'!A36</f>
        <v/>
      </c>
      <c r="V103" s="56">
        <f>+'6'!B36</f>
        <v>0</v>
      </c>
      <c r="W103" s="56">
        <f>+'6'!C36</f>
        <v>0</v>
      </c>
      <c r="X103" s="56">
        <f>+'6'!D36</f>
        <v>0</v>
      </c>
      <c r="Y103" s="61">
        <f>+'6'!E36</f>
        <v>0</v>
      </c>
      <c r="AB103" s="56"/>
      <c r="AC103" s="62"/>
    </row>
    <row r="104" spans="2:29">
      <c r="B104" s="27" t="s">
        <v>166</v>
      </c>
      <c r="C104" s="13">
        <f t="shared" ref="C104:C134" si="3">SUMIF(B19:B81,B104,C19:C81)</f>
        <v>0</v>
      </c>
      <c r="F104" s="10">
        <f>+'11'!D1</f>
        <v>46153</v>
      </c>
      <c r="G104" s="11" t="str">
        <f>+'11'!A4</f>
        <v/>
      </c>
      <c r="H104" s="11">
        <f>+'11'!B4</f>
        <v>0</v>
      </c>
      <c r="I104" s="11">
        <f>+'11'!C4</f>
        <v>0</v>
      </c>
      <c r="J104" s="11">
        <f>+'11'!D4</f>
        <v>0</v>
      </c>
      <c r="K104" s="13">
        <f>+'11'!E4</f>
        <v>0</v>
      </c>
      <c r="M104" s="10">
        <f>+'9'!D1</f>
        <v>46151</v>
      </c>
      <c r="N104" s="11" t="str">
        <f>+'9'!A28</f>
        <v/>
      </c>
      <c r="O104" s="11">
        <f>+'9'!B28</f>
        <v>0</v>
      </c>
      <c r="P104" s="11">
        <f>+'9'!C28</f>
        <v>0</v>
      </c>
      <c r="Q104" s="11">
        <f>+'9'!D28</f>
        <v>0</v>
      </c>
      <c r="R104" s="13">
        <f>+'9'!E28</f>
        <v>0</v>
      </c>
      <c r="T104" s="10">
        <f>+'6'!D1</f>
        <v>46148</v>
      </c>
      <c r="U104" s="56" t="str">
        <f>+'6'!A37</f>
        <v/>
      </c>
      <c r="V104" s="56">
        <f>+'6'!B37</f>
        <v>0</v>
      </c>
      <c r="W104" s="56">
        <f>+'6'!C37</f>
        <v>0</v>
      </c>
      <c r="X104" s="56">
        <f>+'6'!D37</f>
        <v>0</v>
      </c>
      <c r="Y104" s="61">
        <f>+'6'!E37</f>
        <v>0</v>
      </c>
      <c r="AB104" s="56"/>
      <c r="AC104" s="62"/>
    </row>
    <row r="105" spans="2:29">
      <c r="B105" s="27" t="s">
        <v>167</v>
      </c>
      <c r="C105" s="13">
        <f t="shared" si="3"/>
        <v>0</v>
      </c>
      <c r="F105" s="10">
        <f>+'11'!D1</f>
        <v>46153</v>
      </c>
      <c r="G105" s="11" t="str">
        <f>+'11'!A5</f>
        <v/>
      </c>
      <c r="H105" s="11">
        <f>+'11'!B5</f>
        <v>0</v>
      </c>
      <c r="I105" s="11">
        <f>+'11'!C5</f>
        <v>0</v>
      </c>
      <c r="J105" s="11">
        <f>+'11'!D5</f>
        <v>0</v>
      </c>
      <c r="K105" s="13">
        <f>+'11'!E5</f>
        <v>0</v>
      </c>
      <c r="M105" s="10">
        <f>+'9'!D1</f>
        <v>46151</v>
      </c>
      <c r="N105" s="11" t="str">
        <f>+'9'!A29</f>
        <v/>
      </c>
      <c r="O105" s="11">
        <f>+'9'!B29</f>
        <v>0</v>
      </c>
      <c r="P105" s="11">
        <f>+'9'!C29</f>
        <v>0</v>
      </c>
      <c r="Q105" s="11">
        <f>+'9'!D29</f>
        <v>0</v>
      </c>
      <c r="R105" s="13">
        <f>+'9'!E29</f>
        <v>0</v>
      </c>
      <c r="T105" s="10">
        <f>+'6'!D1</f>
        <v>46148</v>
      </c>
      <c r="U105" s="56" t="str">
        <f>+'6'!A38</f>
        <v/>
      </c>
      <c r="V105" s="56">
        <f>+'6'!B38</f>
        <v>0</v>
      </c>
      <c r="W105" s="56">
        <f>+'6'!C38</f>
        <v>0</v>
      </c>
      <c r="X105" s="56">
        <f>+'6'!D38</f>
        <v>0</v>
      </c>
      <c r="Y105" s="61">
        <f>+'6'!E38</f>
        <v>0</v>
      </c>
      <c r="AB105" s="56"/>
      <c r="AC105" s="62"/>
    </row>
    <row r="106" spans="2:29">
      <c r="B106" s="27" t="s">
        <v>74</v>
      </c>
      <c r="C106" s="13">
        <f t="shared" si="3"/>
        <v>0</v>
      </c>
      <c r="F106" s="10">
        <f>+'11'!D1</f>
        <v>46153</v>
      </c>
      <c r="G106" s="11" t="str">
        <f>+'11'!A6</f>
        <v/>
      </c>
      <c r="H106" s="11">
        <f>+'11'!B6</f>
        <v>0</v>
      </c>
      <c r="I106" s="11">
        <f>+'11'!C6</f>
        <v>0</v>
      </c>
      <c r="J106" s="11">
        <f>+'11'!D6</f>
        <v>0</v>
      </c>
      <c r="K106" s="13">
        <f>+'11'!E6</f>
        <v>0</v>
      </c>
      <c r="M106" s="10">
        <f>+'9'!D1</f>
        <v>46151</v>
      </c>
      <c r="N106" s="11" t="str">
        <f>+'9'!A30</f>
        <v/>
      </c>
      <c r="O106" s="11">
        <f>+'9'!B30</f>
        <v>0</v>
      </c>
      <c r="P106" s="11">
        <f>+'9'!C30</f>
        <v>0</v>
      </c>
      <c r="Q106" s="11">
        <f>+'9'!D30</f>
        <v>0</v>
      </c>
      <c r="R106" s="13">
        <f>+'9'!E30</f>
        <v>0</v>
      </c>
      <c r="T106" s="10">
        <f>+'6'!D1</f>
        <v>46148</v>
      </c>
      <c r="U106" s="56" t="str">
        <f>+'6'!A39</f>
        <v/>
      </c>
      <c r="V106" s="56">
        <f>+'6'!B39</f>
        <v>0</v>
      </c>
      <c r="W106" s="56">
        <f>+'6'!C39</f>
        <v>0</v>
      </c>
      <c r="X106" s="56">
        <f>+'6'!D39</f>
        <v>0</v>
      </c>
      <c r="Y106" s="61">
        <f>+'6'!E39</f>
        <v>0</v>
      </c>
      <c r="AB106" s="56"/>
      <c r="AC106" s="62"/>
    </row>
    <row r="107" spans="2:29">
      <c r="B107" s="27" t="s">
        <v>168</v>
      </c>
      <c r="C107" s="13">
        <f t="shared" si="3"/>
        <v>0</v>
      </c>
      <c r="F107" s="10">
        <f>+'11'!D1</f>
        <v>46153</v>
      </c>
      <c r="G107" s="11" t="str">
        <f>+'11'!A7</f>
        <v/>
      </c>
      <c r="H107" s="11">
        <f>+'11'!B7</f>
        <v>0</v>
      </c>
      <c r="I107" s="11">
        <f>+'11'!C7</f>
        <v>0</v>
      </c>
      <c r="J107" s="11">
        <f>+'11'!D7</f>
        <v>0</v>
      </c>
      <c r="K107" s="13">
        <f>+'11'!E7</f>
        <v>0</v>
      </c>
      <c r="M107" s="10">
        <f>+'9'!D1</f>
        <v>46151</v>
      </c>
      <c r="N107" s="11" t="str">
        <f>+'9'!A31</f>
        <v/>
      </c>
      <c r="O107" s="11">
        <f>+'9'!B31</f>
        <v>0</v>
      </c>
      <c r="P107" s="11">
        <f>+'9'!C31</f>
        <v>0</v>
      </c>
      <c r="Q107" s="11">
        <f>+'9'!D31</f>
        <v>0</v>
      </c>
      <c r="R107" s="13">
        <f>+'9'!E31</f>
        <v>0</v>
      </c>
      <c r="T107" s="10">
        <f>+'6'!D1</f>
        <v>46148</v>
      </c>
      <c r="U107" s="56" t="str">
        <f>+'6'!A40</f>
        <v/>
      </c>
      <c r="V107" s="56">
        <f>+'6'!B40</f>
        <v>0</v>
      </c>
      <c r="W107" s="56">
        <f>+'6'!C40</f>
        <v>0</v>
      </c>
      <c r="X107" s="56">
        <f>+'6'!D40</f>
        <v>0</v>
      </c>
      <c r="Y107" s="61">
        <f>+'6'!E40</f>
        <v>0</v>
      </c>
      <c r="AB107" s="56"/>
      <c r="AC107" s="62"/>
    </row>
    <row r="108" spans="2:29">
      <c r="B108" s="27" t="s">
        <v>76</v>
      </c>
      <c r="C108" s="13">
        <f t="shared" si="3"/>
        <v>0</v>
      </c>
      <c r="F108" s="10">
        <f>+'11'!D1</f>
        <v>46153</v>
      </c>
      <c r="G108" s="11" t="str">
        <f>+'11'!A8</f>
        <v/>
      </c>
      <c r="H108" s="11">
        <f>+'11'!B8</f>
        <v>0</v>
      </c>
      <c r="I108" s="11">
        <f>+'11'!C8</f>
        <v>0</v>
      </c>
      <c r="J108" s="11">
        <f>+'11'!D8</f>
        <v>0</v>
      </c>
      <c r="K108" s="13">
        <f>+'11'!E8</f>
        <v>0</v>
      </c>
      <c r="M108" s="10">
        <f>+'9'!D1</f>
        <v>46151</v>
      </c>
      <c r="N108" s="11" t="str">
        <f>+'9'!A32</f>
        <v/>
      </c>
      <c r="O108" s="11">
        <f>+'9'!B32</f>
        <v>0</v>
      </c>
      <c r="P108" s="11">
        <f>+'9'!C32</f>
        <v>0</v>
      </c>
      <c r="Q108" s="11">
        <f>+'9'!D32</f>
        <v>0</v>
      </c>
      <c r="R108" s="13">
        <f>+'9'!E32</f>
        <v>0</v>
      </c>
      <c r="T108" s="10">
        <f>+'6'!D1</f>
        <v>46148</v>
      </c>
      <c r="U108" s="56" t="str">
        <f>+'6'!A41</f>
        <v/>
      </c>
      <c r="V108" s="56">
        <f>+'6'!B41</f>
        <v>0</v>
      </c>
      <c r="W108" s="56">
        <f>+'6'!C41</f>
        <v>0</v>
      </c>
      <c r="X108" s="56">
        <f>+'6'!D41</f>
        <v>0</v>
      </c>
      <c r="Y108" s="61">
        <f>+'6'!E41</f>
        <v>0</v>
      </c>
      <c r="AB108" s="56"/>
      <c r="AC108" s="62"/>
    </row>
    <row r="109" spans="2:29">
      <c r="B109" s="27" t="s">
        <v>169</v>
      </c>
      <c r="C109" s="13">
        <f t="shared" si="3"/>
        <v>0</v>
      </c>
      <c r="F109" s="10">
        <f>+'11'!D1</f>
        <v>46153</v>
      </c>
      <c r="G109" s="11" t="str">
        <f>+'11'!A9</f>
        <v/>
      </c>
      <c r="H109" s="11">
        <f>+'11'!B9</f>
        <v>0</v>
      </c>
      <c r="I109" s="11">
        <f>+'11'!C9</f>
        <v>0</v>
      </c>
      <c r="J109" s="11" t="str">
        <f>+'11'!D9</f>
        <v> </v>
      </c>
      <c r="K109" s="13">
        <f>+'11'!E9</f>
        <v>0</v>
      </c>
      <c r="M109" s="10">
        <f>+'9'!D1</f>
        <v>46151</v>
      </c>
      <c r="N109" s="11" t="str">
        <f>+'9'!A33</f>
        <v/>
      </c>
      <c r="O109" s="11">
        <f>+'9'!B33</f>
        <v>0</v>
      </c>
      <c r="P109" s="11">
        <f>+'9'!C33</f>
        <v>0</v>
      </c>
      <c r="Q109" s="11">
        <f>+'9'!D33</f>
        <v>0</v>
      </c>
      <c r="R109" s="13">
        <f>+'9'!E33</f>
        <v>0</v>
      </c>
      <c r="T109" s="10">
        <f>+'6'!D1</f>
        <v>46148</v>
      </c>
      <c r="U109" s="56" t="str">
        <f>+'6'!A42</f>
        <v/>
      </c>
      <c r="V109" s="56">
        <f>+'6'!B42</f>
        <v>0</v>
      </c>
      <c r="W109" s="56">
        <f>+'6'!C42</f>
        <v>0</v>
      </c>
      <c r="X109" s="56">
        <f>+'6'!D42</f>
        <v>0</v>
      </c>
      <c r="Y109" s="61">
        <f>+'6'!E42</f>
        <v>0</v>
      </c>
      <c r="AB109" s="56"/>
      <c r="AC109" s="62"/>
    </row>
    <row r="110" spans="2:29">
      <c r="B110" s="27" t="s">
        <v>170</v>
      </c>
      <c r="C110" s="13">
        <f t="shared" si="3"/>
        <v>0</v>
      </c>
      <c r="F110" s="10">
        <f>+'11'!D1</f>
        <v>46153</v>
      </c>
      <c r="G110" s="11" t="str">
        <f>+'11'!A10</f>
        <v/>
      </c>
      <c r="H110" s="11">
        <f>+'11'!B10</f>
        <v>0</v>
      </c>
      <c r="I110" s="11">
        <f>+'11'!C10</f>
        <v>0</v>
      </c>
      <c r="J110" s="11">
        <f>+'11'!D10</f>
        <v>0</v>
      </c>
      <c r="K110" s="13">
        <f>+'11'!E10</f>
        <v>0</v>
      </c>
      <c r="M110" s="10">
        <f>+'9'!D1</f>
        <v>46151</v>
      </c>
      <c r="N110" s="11" t="str">
        <f>+'9'!A34</f>
        <v/>
      </c>
      <c r="O110" s="11">
        <f>+'9'!B34</f>
        <v>0</v>
      </c>
      <c r="P110" s="11">
        <f>+'9'!C34</f>
        <v>0</v>
      </c>
      <c r="Q110" s="11">
        <f>+'9'!D34</f>
        <v>0</v>
      </c>
      <c r="R110" s="13">
        <f>+'9'!E34</f>
        <v>0</v>
      </c>
      <c r="T110" s="10">
        <f>+'6'!D1</f>
        <v>46148</v>
      </c>
      <c r="U110" s="56" t="str">
        <f>+'6'!A43</f>
        <v/>
      </c>
      <c r="V110" s="56">
        <f>+'6'!B43</f>
        <v>0</v>
      </c>
      <c r="W110" s="56">
        <f>+'6'!C43</f>
        <v>0</v>
      </c>
      <c r="X110" s="56">
        <f>+'6'!D43</f>
        <v>0</v>
      </c>
      <c r="Y110" s="61">
        <f>+'6'!E43</f>
        <v>0</v>
      </c>
      <c r="AB110" s="56"/>
      <c r="AC110" s="62"/>
    </row>
    <row r="111" spans="2:29">
      <c r="B111" s="27" t="s">
        <v>171</v>
      </c>
      <c r="C111" s="13">
        <f t="shared" si="3"/>
        <v>0</v>
      </c>
      <c r="F111" s="10">
        <f>+'11'!D1</f>
        <v>46153</v>
      </c>
      <c r="G111" s="11" t="str">
        <f>+'11'!A11</f>
        <v/>
      </c>
      <c r="H111" s="11">
        <f>+'11'!B11</f>
        <v>0</v>
      </c>
      <c r="I111" s="11">
        <f>+'11'!C11</f>
        <v>0</v>
      </c>
      <c r="J111" s="11">
        <f>+'11'!D11</f>
        <v>0</v>
      </c>
      <c r="K111" s="13">
        <f>+'11'!E11</f>
        <v>0</v>
      </c>
      <c r="M111" s="10">
        <f>+'10'!D1</f>
        <v>46152</v>
      </c>
      <c r="N111" s="11" t="str">
        <f>+'10'!A23</f>
        <v/>
      </c>
      <c r="O111" s="11">
        <f>+'10'!B23</f>
        <v>0</v>
      </c>
      <c r="P111" s="11">
        <f>+'10'!C23</f>
        <v>0</v>
      </c>
      <c r="Q111" s="11">
        <f>+'10'!D23</f>
        <v>0</v>
      </c>
      <c r="R111" s="13">
        <f>+'10'!E23</f>
        <v>0</v>
      </c>
      <c r="T111" s="10">
        <f>+'6'!D1</f>
        <v>46148</v>
      </c>
      <c r="U111" s="56" t="str">
        <f>+'6'!A44</f>
        <v/>
      </c>
      <c r="V111" s="56">
        <f>+'6'!B44</f>
        <v>0</v>
      </c>
      <c r="W111" s="56">
        <f>+'6'!C44</f>
        <v>0</v>
      </c>
      <c r="X111" s="56">
        <f>+'6'!D44</f>
        <v>0</v>
      </c>
      <c r="Y111" s="61">
        <f>+'6'!E44</f>
        <v>0</v>
      </c>
      <c r="AB111" s="56"/>
      <c r="AC111" s="62"/>
    </row>
    <row r="112" spans="2:29">
      <c r="B112" s="27" t="s">
        <v>172</v>
      </c>
      <c r="C112" s="13">
        <f t="shared" si="3"/>
        <v>0</v>
      </c>
      <c r="F112" s="10">
        <f>+'11'!D1</f>
        <v>46153</v>
      </c>
      <c r="G112" s="11" t="str">
        <f>+'11'!A12</f>
        <v/>
      </c>
      <c r="H112" s="11">
        <f>+'11'!B12</f>
        <v>0</v>
      </c>
      <c r="I112" s="11">
        <f>+'11'!C12</f>
        <v>0</v>
      </c>
      <c r="J112" s="11">
        <f>+'11'!D12</f>
        <v>0</v>
      </c>
      <c r="K112" s="13">
        <f>+'11'!E12</f>
        <v>0</v>
      </c>
      <c r="M112" s="10">
        <f>+'10'!D1</f>
        <v>46152</v>
      </c>
      <c r="N112" s="11" t="str">
        <f>+'10'!A24</f>
        <v/>
      </c>
      <c r="O112" s="11">
        <f>+'10'!B24</f>
        <v>0</v>
      </c>
      <c r="P112" s="11">
        <f>+'10'!C24</f>
        <v>0</v>
      </c>
      <c r="Q112" s="11">
        <f>+'10'!D24</f>
        <v>0</v>
      </c>
      <c r="R112" s="13">
        <f>+'10'!E24</f>
        <v>0</v>
      </c>
      <c r="T112" s="10">
        <f>+'6'!D1</f>
        <v>46148</v>
      </c>
      <c r="U112" s="56" t="str">
        <f>+'6'!A45</f>
        <v/>
      </c>
      <c r="V112" s="56">
        <f>+'6'!B45</f>
        <v>0</v>
      </c>
      <c r="W112" s="56">
        <f>+'6'!C45</f>
        <v>0</v>
      </c>
      <c r="X112" s="56">
        <f>+'6'!D45</f>
        <v>0</v>
      </c>
      <c r="Y112" s="61">
        <f>+'6'!E45</f>
        <v>0</v>
      </c>
      <c r="AB112" s="56"/>
      <c r="AC112" s="62"/>
    </row>
    <row r="113" spans="2:29">
      <c r="B113" s="27" t="s">
        <v>173</v>
      </c>
      <c r="C113" s="13">
        <f t="shared" si="3"/>
        <v>0</v>
      </c>
      <c r="F113" s="10">
        <f>+'12'!D1</f>
        <v>46154</v>
      </c>
      <c r="G113" s="11" t="str">
        <f>+'12'!A3</f>
        <v/>
      </c>
      <c r="H113" s="11">
        <f>+'12'!B3</f>
        <v>0</v>
      </c>
      <c r="I113" s="11">
        <f>+'12'!C3</f>
        <v>0</v>
      </c>
      <c r="J113" s="11">
        <f>+'12'!D3</f>
        <v>0</v>
      </c>
      <c r="K113" s="13">
        <f>+'12'!E3</f>
        <v>0</v>
      </c>
      <c r="M113" s="10">
        <f>+'10'!D1</f>
        <v>46152</v>
      </c>
      <c r="N113" s="11" t="str">
        <f>+'10'!A25</f>
        <v/>
      </c>
      <c r="O113" s="11">
        <f>+'10'!B25</f>
        <v>0</v>
      </c>
      <c r="P113" s="11">
        <f>+'10'!C25</f>
        <v>0</v>
      </c>
      <c r="Q113" s="11">
        <f>+'10'!D25</f>
        <v>0</v>
      </c>
      <c r="R113" s="13">
        <f>+'10'!E25</f>
        <v>0</v>
      </c>
      <c r="T113" s="10">
        <f>+'6'!D1</f>
        <v>46148</v>
      </c>
      <c r="U113" s="56" t="str">
        <f>+'6'!A46</f>
        <v/>
      </c>
      <c r="V113" s="56">
        <f>+'6'!B46</f>
        <v>0</v>
      </c>
      <c r="W113" s="56">
        <f>+'6'!C46</f>
        <v>0</v>
      </c>
      <c r="X113" s="56">
        <f>+'6'!D46</f>
        <v>0</v>
      </c>
      <c r="Y113" s="61">
        <f>+'6'!E46</f>
        <v>0</v>
      </c>
      <c r="AB113" s="56"/>
      <c r="AC113" s="62"/>
    </row>
    <row r="114" spans="2:29">
      <c r="B114" s="27" t="s">
        <v>174</v>
      </c>
      <c r="C114" s="13">
        <f t="shared" si="3"/>
        <v>0</v>
      </c>
      <c r="F114" s="10">
        <f>+'12'!D1</f>
        <v>46154</v>
      </c>
      <c r="G114" s="11" t="str">
        <f>+'12'!A4</f>
        <v/>
      </c>
      <c r="H114" s="11">
        <f>+'12'!B4</f>
        <v>0</v>
      </c>
      <c r="I114" s="11">
        <f>+'12'!C4</f>
        <v>0</v>
      </c>
      <c r="J114" s="11">
        <f>+'12'!D4</f>
        <v>0</v>
      </c>
      <c r="K114" s="13">
        <f>+'12'!E4</f>
        <v>0</v>
      </c>
      <c r="M114" s="10">
        <f>+'10'!D1</f>
        <v>46152</v>
      </c>
      <c r="N114" s="11" t="str">
        <f>+'10'!A26</f>
        <v/>
      </c>
      <c r="O114" s="11">
        <f>+'10'!B26</f>
        <v>0</v>
      </c>
      <c r="P114" s="11">
        <f>+'10'!C26</f>
        <v>0</v>
      </c>
      <c r="Q114" s="11">
        <f>+'10'!D26</f>
        <v>0</v>
      </c>
      <c r="R114" s="13">
        <f>+'10'!E26</f>
        <v>0</v>
      </c>
      <c r="T114" s="10">
        <f>+'6'!D1</f>
        <v>46148</v>
      </c>
      <c r="U114" s="56" t="str">
        <f>+'6'!A47</f>
        <v/>
      </c>
      <c r="V114" s="56">
        <f>+'6'!B47</f>
        <v>0</v>
      </c>
      <c r="W114" s="56">
        <f>+'6'!C47</f>
        <v>0</v>
      </c>
      <c r="X114" s="56">
        <f>+'6'!D47</f>
        <v>0</v>
      </c>
      <c r="Y114" s="61">
        <f>+'6'!E47</f>
        <v>0</v>
      </c>
      <c r="AB114" s="56"/>
      <c r="AC114" s="62"/>
    </row>
    <row r="115" spans="2:29">
      <c r="B115" s="27" t="s">
        <v>175</v>
      </c>
      <c r="C115" s="13">
        <f t="shared" si="3"/>
        <v>0</v>
      </c>
      <c r="F115" s="10">
        <f>+'12'!D1</f>
        <v>46154</v>
      </c>
      <c r="G115" s="11" t="str">
        <f>+'12'!A5</f>
        <v/>
      </c>
      <c r="H115" s="11">
        <f>+'12'!B5</f>
        <v>0</v>
      </c>
      <c r="I115" s="11">
        <f>+'12'!C5</f>
        <v>0</v>
      </c>
      <c r="J115" s="11">
        <f>+'12'!D5</f>
        <v>0</v>
      </c>
      <c r="K115" s="13">
        <f>+'12'!E5</f>
        <v>0</v>
      </c>
      <c r="M115" s="10">
        <f>+'10'!D1</f>
        <v>46152</v>
      </c>
      <c r="N115" s="11" t="str">
        <f>+'10'!A27</f>
        <v/>
      </c>
      <c r="O115" s="11">
        <f>+'10'!B27</f>
        <v>0</v>
      </c>
      <c r="P115" s="11">
        <f>+'10'!C27</f>
        <v>0</v>
      </c>
      <c r="Q115" s="11">
        <f>+'10'!D27</f>
        <v>0</v>
      </c>
      <c r="R115" s="13">
        <f>+'10'!E27</f>
        <v>0</v>
      </c>
      <c r="T115" s="10">
        <f>+'6'!D1</f>
        <v>46148</v>
      </c>
      <c r="U115" s="56" t="str">
        <f>+'6'!A48</f>
        <v/>
      </c>
      <c r="V115" s="56">
        <f>+'6'!B48</f>
        <v>0</v>
      </c>
      <c r="W115" s="56">
        <f>+'6'!C48</f>
        <v>0</v>
      </c>
      <c r="X115" s="56">
        <f>+'6'!D48</f>
        <v>0</v>
      </c>
      <c r="Y115" s="61">
        <f>+'6'!E48</f>
        <v>0</v>
      </c>
      <c r="AB115" s="56"/>
      <c r="AC115" s="62"/>
    </row>
    <row r="116" spans="2:29">
      <c r="B116" s="27" t="s">
        <v>176</v>
      </c>
      <c r="C116" s="13">
        <f t="shared" si="3"/>
        <v>0</v>
      </c>
      <c r="F116" s="10">
        <f>+'12'!D1</f>
        <v>46154</v>
      </c>
      <c r="G116" s="11" t="str">
        <f>+'12'!A6</f>
        <v/>
      </c>
      <c r="H116" s="11">
        <f>+'12'!B6</f>
        <v>0</v>
      </c>
      <c r="I116" s="11">
        <f>+'12'!C6</f>
        <v>0</v>
      </c>
      <c r="J116" s="11">
        <f>+'12'!D6</f>
        <v>0</v>
      </c>
      <c r="K116" s="13">
        <f>+'12'!E6</f>
        <v>0</v>
      </c>
      <c r="M116" s="10">
        <f>+'10'!D1</f>
        <v>46152</v>
      </c>
      <c r="N116" s="11" t="str">
        <f>+'10'!A28</f>
        <v/>
      </c>
      <c r="O116" s="11">
        <f>+'10'!B28</f>
        <v>0</v>
      </c>
      <c r="P116" s="11">
        <f>+'10'!C28</f>
        <v>0</v>
      </c>
      <c r="Q116" s="11">
        <f>+'10'!D28</f>
        <v>0</v>
      </c>
      <c r="R116" s="13">
        <f>+'10'!E28</f>
        <v>0</v>
      </c>
      <c r="T116" s="10">
        <f>+'6'!D1</f>
        <v>46148</v>
      </c>
      <c r="U116" s="56" t="str">
        <f>+'6'!A49</f>
        <v/>
      </c>
      <c r="V116" s="56">
        <f>+'6'!B49</f>
        <v>0</v>
      </c>
      <c r="W116" s="56">
        <f>+'6'!C49</f>
        <v>0</v>
      </c>
      <c r="X116" s="56">
        <f>+'6'!D49</f>
        <v>0</v>
      </c>
      <c r="Y116" s="61">
        <f>+'6'!E49</f>
        <v>0</v>
      </c>
      <c r="AB116" s="56"/>
      <c r="AC116" s="62"/>
    </row>
    <row r="117" spans="2:29">
      <c r="B117" s="27" t="s">
        <v>177</v>
      </c>
      <c r="C117" s="13">
        <f t="shared" si="3"/>
        <v>0</v>
      </c>
      <c r="F117" s="10">
        <f>+'12'!D1</f>
        <v>46154</v>
      </c>
      <c r="G117" s="11" t="str">
        <f>+'12'!A7</f>
        <v/>
      </c>
      <c r="H117" s="11">
        <f>+'12'!B7</f>
        <v>0</v>
      </c>
      <c r="I117" s="11">
        <f>+'12'!C7</f>
        <v>0</v>
      </c>
      <c r="J117" s="11">
        <f>+'12'!D7</f>
        <v>0</v>
      </c>
      <c r="K117" s="13">
        <f>+'12'!E7</f>
        <v>0</v>
      </c>
      <c r="M117" s="10">
        <f>+'10'!D1</f>
        <v>46152</v>
      </c>
      <c r="N117" s="11" t="str">
        <f>+'10'!A29</f>
        <v/>
      </c>
      <c r="O117" s="11">
        <f>+'10'!B29</f>
        <v>0</v>
      </c>
      <c r="P117" s="11">
        <f>+'10'!C29</f>
        <v>0</v>
      </c>
      <c r="Q117" s="11">
        <f>+'10'!D29</f>
        <v>0</v>
      </c>
      <c r="R117" s="13">
        <f>+'10'!E29</f>
        <v>0</v>
      </c>
      <c r="T117" s="10">
        <f>+'6'!D1</f>
        <v>46148</v>
      </c>
      <c r="U117" s="56" t="str">
        <f>+'6'!A50</f>
        <v/>
      </c>
      <c r="V117" s="56">
        <f>+'6'!B50</f>
        <v>0</v>
      </c>
      <c r="W117" s="56">
        <f>+'6'!C50</f>
        <v>0</v>
      </c>
      <c r="X117" s="56">
        <f>+'6'!D50</f>
        <v>0</v>
      </c>
      <c r="Y117" s="61">
        <f>+'6'!E50</f>
        <v>0</v>
      </c>
      <c r="AB117" s="56"/>
      <c r="AC117" s="62"/>
    </row>
    <row r="118" spans="2:29">
      <c r="B118" s="27" t="s">
        <v>178</v>
      </c>
      <c r="C118" s="13">
        <f t="shared" si="3"/>
        <v>0</v>
      </c>
      <c r="F118" s="10">
        <f>+'12'!D1</f>
        <v>46154</v>
      </c>
      <c r="G118" s="11" t="str">
        <f>+'12'!A8</f>
        <v/>
      </c>
      <c r="H118" s="11">
        <f>+'12'!B8</f>
        <v>0</v>
      </c>
      <c r="I118" s="11">
        <f>+'12'!C8</f>
        <v>0</v>
      </c>
      <c r="J118" s="11">
        <f>+'12'!D8</f>
        <v>0</v>
      </c>
      <c r="K118" s="13">
        <f>+'12'!E8</f>
        <v>0</v>
      </c>
      <c r="M118" s="10">
        <f>+'10'!D1</f>
        <v>46152</v>
      </c>
      <c r="N118" s="11" t="str">
        <f>+'10'!A30</f>
        <v/>
      </c>
      <c r="O118" s="11">
        <f>+'10'!B30</f>
        <v>0</v>
      </c>
      <c r="P118" s="11">
        <f>+'10'!C30</f>
        <v>0</v>
      </c>
      <c r="Q118" s="11">
        <f>+'10'!D30</f>
        <v>0</v>
      </c>
      <c r="R118" s="13">
        <f>+'10'!E30</f>
        <v>0</v>
      </c>
      <c r="T118" s="10">
        <f>+'6'!D1</f>
        <v>46148</v>
      </c>
      <c r="U118" s="56" t="str">
        <f>+'6'!A51</f>
        <v/>
      </c>
      <c r="V118" s="56">
        <f>+'6'!B51</f>
        <v>0</v>
      </c>
      <c r="W118" s="56">
        <f>+'6'!C51</f>
        <v>0</v>
      </c>
      <c r="X118" s="56">
        <f>+'6'!D51</f>
        <v>0</v>
      </c>
      <c r="Y118" s="61">
        <f>+'6'!E51</f>
        <v>0</v>
      </c>
      <c r="AB118" s="56"/>
      <c r="AC118" s="62"/>
    </row>
    <row r="119" spans="2:29">
      <c r="B119" s="27" t="s">
        <v>179</v>
      </c>
      <c r="C119" s="13">
        <f t="shared" si="3"/>
        <v>0</v>
      </c>
      <c r="F119" s="10">
        <f>+'12'!D1</f>
        <v>46154</v>
      </c>
      <c r="G119" s="11" t="str">
        <f>+'12'!A9</f>
        <v/>
      </c>
      <c r="H119" s="11">
        <f>+'12'!B9</f>
        <v>0</v>
      </c>
      <c r="I119" s="11">
        <f>+'12'!C9</f>
        <v>0</v>
      </c>
      <c r="J119" s="11" t="str">
        <f>+'12'!D9</f>
        <v> </v>
      </c>
      <c r="K119" s="13">
        <f>+'12'!E9</f>
        <v>0</v>
      </c>
      <c r="M119" s="10">
        <f>+'10'!D1</f>
        <v>46152</v>
      </c>
      <c r="N119" s="11" t="str">
        <f>+'10'!A31</f>
        <v/>
      </c>
      <c r="O119" s="11">
        <f>+'10'!B31</f>
        <v>0</v>
      </c>
      <c r="P119" s="11">
        <f>+'10'!C31</f>
        <v>0</v>
      </c>
      <c r="Q119" s="11">
        <f>+'10'!D31</f>
        <v>0</v>
      </c>
      <c r="R119" s="13">
        <f>+'10'!E31</f>
        <v>0</v>
      </c>
      <c r="T119" s="10">
        <f>+'6'!D1</f>
        <v>46148</v>
      </c>
      <c r="U119" s="56" t="str">
        <f>+'6'!A52</f>
        <v/>
      </c>
      <c r="V119" s="56">
        <f>+'6'!B52</f>
        <v>0</v>
      </c>
      <c r="W119" s="56">
        <f>+'6'!C52</f>
        <v>0</v>
      </c>
      <c r="X119" s="56">
        <f>+'6'!D52</f>
        <v>0</v>
      </c>
      <c r="Y119" s="61">
        <f>+'6'!E52</f>
        <v>0</v>
      </c>
      <c r="AB119" s="56"/>
      <c r="AC119" s="62"/>
    </row>
    <row r="120" spans="2:29">
      <c r="B120" s="27" t="s">
        <v>180</v>
      </c>
      <c r="C120" s="13">
        <f t="shared" si="3"/>
        <v>0</v>
      </c>
      <c r="F120" s="10">
        <f>+'12'!D1</f>
        <v>46154</v>
      </c>
      <c r="G120" s="11" t="str">
        <f>+'12'!A10</f>
        <v/>
      </c>
      <c r="H120" s="11">
        <f>+'12'!B10</f>
        <v>0</v>
      </c>
      <c r="I120" s="11">
        <f>+'12'!C10</f>
        <v>0</v>
      </c>
      <c r="J120" s="11">
        <f>+'12'!D10</f>
        <v>0</v>
      </c>
      <c r="K120" s="13">
        <f>+'12'!E10</f>
        <v>0</v>
      </c>
      <c r="M120" s="10">
        <f>+'10'!D1</f>
        <v>46152</v>
      </c>
      <c r="N120" s="11" t="str">
        <f>+'10'!A32</f>
        <v/>
      </c>
      <c r="O120" s="11">
        <f>+'10'!B32</f>
        <v>0</v>
      </c>
      <c r="P120" s="11">
        <f>+'10'!C32</f>
        <v>0</v>
      </c>
      <c r="Q120" s="11">
        <f>+'10'!D32</f>
        <v>0</v>
      </c>
      <c r="R120" s="13">
        <f>+'10'!E32</f>
        <v>0</v>
      </c>
      <c r="T120" s="10">
        <f>+'6'!D1</f>
        <v>46148</v>
      </c>
      <c r="U120" s="56" t="str">
        <f>+'6'!A53</f>
        <v/>
      </c>
      <c r="V120" s="56">
        <f>+'6'!B53</f>
        <v>0</v>
      </c>
      <c r="W120" s="56">
        <f>+'6'!C53</f>
        <v>0</v>
      </c>
      <c r="X120" s="56">
        <f>+'6'!D53</f>
        <v>0</v>
      </c>
      <c r="Y120" s="61">
        <f>+'6'!E53</f>
        <v>0</v>
      </c>
      <c r="AB120" s="56"/>
      <c r="AC120" s="62"/>
    </row>
    <row r="121" spans="2:29">
      <c r="B121" s="27" t="s">
        <v>181</v>
      </c>
      <c r="C121" s="13">
        <f t="shared" si="3"/>
        <v>0</v>
      </c>
      <c r="F121" s="10">
        <f>+'12'!D1</f>
        <v>46154</v>
      </c>
      <c r="G121" s="11" t="str">
        <f>+'12'!A11</f>
        <v/>
      </c>
      <c r="H121" s="11">
        <f>+'12'!B11</f>
        <v>0</v>
      </c>
      <c r="I121" s="11">
        <f>+'12'!C11</f>
        <v>0</v>
      </c>
      <c r="J121" s="11">
        <f>+'12'!D11</f>
        <v>0</v>
      </c>
      <c r="K121" s="13">
        <f>+'12'!E11</f>
        <v>0</v>
      </c>
      <c r="M121" s="10">
        <f>+'10'!D1</f>
        <v>46152</v>
      </c>
      <c r="N121" s="11" t="str">
        <f>+'10'!A33</f>
        <v/>
      </c>
      <c r="O121" s="11">
        <f>+'10'!B33</f>
        <v>0</v>
      </c>
      <c r="P121" s="11">
        <f>+'10'!C33</f>
        <v>0</v>
      </c>
      <c r="Q121" s="11">
        <f>+'10'!D33</f>
        <v>0</v>
      </c>
      <c r="R121" s="13">
        <f>+'10'!E33</f>
        <v>0</v>
      </c>
      <c r="T121" s="10">
        <f>+'6'!D1</f>
        <v>46148</v>
      </c>
      <c r="U121" s="56" t="str">
        <f>+'6'!A54</f>
        <v/>
      </c>
      <c r="V121" s="56">
        <f>+'6'!B54</f>
        <v>0</v>
      </c>
      <c r="W121" s="56">
        <f>+'6'!C54</f>
        <v>0</v>
      </c>
      <c r="X121" s="56">
        <f>+'6'!D54</f>
        <v>0</v>
      </c>
      <c r="Y121" s="61">
        <f>+'6'!E54</f>
        <v>0</v>
      </c>
      <c r="AB121" s="56"/>
      <c r="AC121" s="62"/>
    </row>
    <row r="122" spans="2:29">
      <c r="B122" s="27" t="s">
        <v>182</v>
      </c>
      <c r="C122" s="13">
        <f t="shared" si="3"/>
        <v>0</v>
      </c>
      <c r="F122" s="10">
        <f>+'12'!D1</f>
        <v>46154</v>
      </c>
      <c r="G122" s="11" t="str">
        <f>+'12'!A12</f>
        <v/>
      </c>
      <c r="H122" s="11">
        <f>+'12'!B12</f>
        <v>0</v>
      </c>
      <c r="I122" s="11">
        <f>+'12'!C12</f>
        <v>0</v>
      </c>
      <c r="J122" s="11">
        <f>+'12'!D12</f>
        <v>0</v>
      </c>
      <c r="K122" s="13">
        <f>+'12'!E12</f>
        <v>0</v>
      </c>
      <c r="M122" s="10">
        <f>+'10'!D1</f>
        <v>46152</v>
      </c>
      <c r="N122" s="11" t="str">
        <f>+'10'!A34</f>
        <v/>
      </c>
      <c r="O122" s="11">
        <f>+'10'!B34</f>
        <v>0</v>
      </c>
      <c r="P122" s="11">
        <f>+'10'!C34</f>
        <v>0</v>
      </c>
      <c r="Q122" s="11">
        <f>+'10'!D34</f>
        <v>0</v>
      </c>
      <c r="R122" s="13">
        <f>+'10'!E34</f>
        <v>0</v>
      </c>
      <c r="T122" s="10">
        <f>+'6'!D1</f>
        <v>46148</v>
      </c>
      <c r="U122" s="56" t="str">
        <f>+'6'!A55</f>
        <v/>
      </c>
      <c r="V122" s="56">
        <f>+'6'!B55</f>
        <v>0</v>
      </c>
      <c r="W122" s="56">
        <f>+'6'!C55</f>
        <v>0</v>
      </c>
      <c r="X122" s="56">
        <f>+'6'!D55</f>
        <v>0</v>
      </c>
      <c r="Y122" s="61">
        <f>+'6'!E55</f>
        <v>0</v>
      </c>
      <c r="AB122" s="56"/>
      <c r="AC122" s="62"/>
    </row>
    <row r="123" spans="2:29">
      <c r="B123" s="27" t="s">
        <v>183</v>
      </c>
      <c r="C123" s="13">
        <f t="shared" si="3"/>
        <v>0</v>
      </c>
      <c r="F123" s="10">
        <f>+'13'!D1</f>
        <v>46155</v>
      </c>
      <c r="G123" s="11" t="str">
        <f>+'13'!A3</f>
        <v/>
      </c>
      <c r="H123" s="11">
        <f>+'13'!B3</f>
        <v>0</v>
      </c>
      <c r="I123" s="11">
        <f>+'13'!C3</f>
        <v>0</v>
      </c>
      <c r="J123" s="11">
        <f>+'13'!D3</f>
        <v>0</v>
      </c>
      <c r="K123" s="13">
        <f>+'13'!E3</f>
        <v>0</v>
      </c>
      <c r="M123" s="10">
        <f>+'11'!D1</f>
        <v>46153</v>
      </c>
      <c r="N123" s="11" t="str">
        <f>+'11'!A23</f>
        <v/>
      </c>
      <c r="O123" s="11">
        <f>+'11'!B23</f>
        <v>0</v>
      </c>
      <c r="P123" s="11">
        <f>+'11'!C23</f>
        <v>0</v>
      </c>
      <c r="Q123" s="11">
        <f>+'11'!D23</f>
        <v>0</v>
      </c>
      <c r="R123" s="13">
        <f>+'11'!E23</f>
        <v>0</v>
      </c>
      <c r="T123" s="10">
        <f>+'7'!D1</f>
        <v>46149</v>
      </c>
      <c r="U123" s="56" t="str">
        <f>+'7'!A36</f>
        <v/>
      </c>
      <c r="V123" s="56">
        <f>+'7'!B36</f>
        <v>0</v>
      </c>
      <c r="W123" s="56">
        <f>+'7'!C36</f>
        <v>0</v>
      </c>
      <c r="X123" s="56">
        <f>+'7'!D36</f>
        <v>0</v>
      </c>
      <c r="Y123" s="61">
        <f>+'7'!E36</f>
        <v>0</v>
      </c>
      <c r="AB123" s="56"/>
      <c r="AC123" s="62"/>
    </row>
    <row r="124" spans="2:29">
      <c r="B124" s="27" t="s">
        <v>184</v>
      </c>
      <c r="C124" s="13">
        <f t="shared" si="3"/>
        <v>0</v>
      </c>
      <c r="F124" s="10">
        <f>+'13'!D1</f>
        <v>46155</v>
      </c>
      <c r="G124" s="11" t="str">
        <f>+'13'!A4</f>
        <v/>
      </c>
      <c r="H124" s="11">
        <f>+'13'!B4</f>
        <v>0</v>
      </c>
      <c r="I124" s="11">
        <f>+'13'!C4</f>
        <v>0</v>
      </c>
      <c r="J124" s="11">
        <f>+'13'!D4</f>
        <v>0</v>
      </c>
      <c r="K124" s="13">
        <f>+'13'!E4</f>
        <v>0</v>
      </c>
      <c r="M124" s="10">
        <f>+'11'!D1</f>
        <v>46153</v>
      </c>
      <c r="N124" s="11" t="str">
        <f>+'11'!A24</f>
        <v/>
      </c>
      <c r="O124" s="11">
        <f>+'11'!B24</f>
        <v>0</v>
      </c>
      <c r="P124" s="11">
        <f>+'11'!C24</f>
        <v>0</v>
      </c>
      <c r="Q124" s="11">
        <f>+'11'!D24</f>
        <v>0</v>
      </c>
      <c r="R124" s="13">
        <f>+'11'!E24</f>
        <v>0</v>
      </c>
      <c r="T124" s="10">
        <f>+'7'!D1</f>
        <v>46149</v>
      </c>
      <c r="U124" s="56" t="str">
        <f>+'7'!A37</f>
        <v/>
      </c>
      <c r="V124" s="56">
        <f>+'7'!B37</f>
        <v>0</v>
      </c>
      <c r="W124" s="56">
        <f>+'7'!C37</f>
        <v>0</v>
      </c>
      <c r="X124" s="56">
        <f>+'7'!D37</f>
        <v>0</v>
      </c>
      <c r="Y124" s="61">
        <f>+'7'!E37</f>
        <v>0</v>
      </c>
      <c r="AB124" s="56"/>
      <c r="AC124" s="62"/>
    </row>
    <row r="125" spans="2:29">
      <c r="B125" s="27" t="s">
        <v>185</v>
      </c>
      <c r="C125" s="13">
        <f t="shared" si="3"/>
        <v>0</v>
      </c>
      <c r="F125" s="10">
        <f>+'13'!D1</f>
        <v>46155</v>
      </c>
      <c r="G125" s="11" t="str">
        <f>+'13'!A5</f>
        <v/>
      </c>
      <c r="H125" s="11">
        <f>+'13'!B5</f>
        <v>0</v>
      </c>
      <c r="I125" s="11">
        <f>+'13'!C5</f>
        <v>0</v>
      </c>
      <c r="J125" s="11">
        <f>+'13'!D5</f>
        <v>0</v>
      </c>
      <c r="K125" s="13">
        <f>+'13'!E5</f>
        <v>0</v>
      </c>
      <c r="M125" s="10">
        <f>+'11'!D1</f>
        <v>46153</v>
      </c>
      <c r="N125" s="11" t="str">
        <f>+'11'!A25</f>
        <v/>
      </c>
      <c r="O125" s="11">
        <f>+'11'!B25</f>
        <v>0</v>
      </c>
      <c r="P125" s="11">
        <f>+'11'!C25</f>
        <v>0</v>
      </c>
      <c r="Q125" s="11">
        <f>+'11'!D25</f>
        <v>0</v>
      </c>
      <c r="R125" s="13">
        <f>+'11'!E25</f>
        <v>0</v>
      </c>
      <c r="T125" s="10">
        <f>+'7'!D1</f>
        <v>46149</v>
      </c>
      <c r="U125" s="56" t="str">
        <f>+'7'!A38</f>
        <v/>
      </c>
      <c r="V125" s="56">
        <f>+'7'!B38</f>
        <v>0</v>
      </c>
      <c r="W125" s="56">
        <f>+'7'!C38</f>
        <v>0</v>
      </c>
      <c r="X125" s="56">
        <f>+'7'!D38</f>
        <v>0</v>
      </c>
      <c r="Y125" s="61">
        <f>+'7'!E38</f>
        <v>0</v>
      </c>
      <c r="AB125" s="56"/>
      <c r="AC125" s="62"/>
    </row>
    <row r="126" spans="2:29">
      <c r="B126" s="27" t="s">
        <v>186</v>
      </c>
      <c r="C126" s="13">
        <f t="shared" si="3"/>
        <v>0</v>
      </c>
      <c r="F126" s="10">
        <f>+'13'!D1</f>
        <v>46155</v>
      </c>
      <c r="G126" s="11" t="str">
        <f>+'13'!A6</f>
        <v/>
      </c>
      <c r="H126" s="11">
        <f>+'13'!B6</f>
        <v>0</v>
      </c>
      <c r="I126" s="11">
        <f>+'13'!C6</f>
        <v>0</v>
      </c>
      <c r="J126" s="11">
        <f>+'13'!D6</f>
        <v>0</v>
      </c>
      <c r="K126" s="13">
        <f>+'13'!E6</f>
        <v>0</v>
      </c>
      <c r="M126" s="10">
        <f>+'11'!D1</f>
        <v>46153</v>
      </c>
      <c r="N126" s="11" t="str">
        <f>+'11'!A26</f>
        <v/>
      </c>
      <c r="O126" s="11">
        <f>+'11'!B26</f>
        <v>0</v>
      </c>
      <c r="P126" s="11">
        <f>+'11'!C26</f>
        <v>0</v>
      </c>
      <c r="Q126" s="11">
        <f>+'11'!D26</f>
        <v>0</v>
      </c>
      <c r="R126" s="13">
        <f>+'11'!E26</f>
        <v>0</v>
      </c>
      <c r="T126" s="10">
        <f>+'7'!D1</f>
        <v>46149</v>
      </c>
      <c r="U126" s="56" t="str">
        <f>+'7'!A39</f>
        <v/>
      </c>
      <c r="V126" s="56">
        <f>+'7'!B39</f>
        <v>0</v>
      </c>
      <c r="W126" s="56">
        <f>+'7'!C39</f>
        <v>0</v>
      </c>
      <c r="X126" s="56">
        <f>+'7'!D39</f>
        <v>0</v>
      </c>
      <c r="Y126" s="61">
        <f>+'7'!E39</f>
        <v>0</v>
      </c>
      <c r="AB126" s="56"/>
      <c r="AC126" s="62"/>
    </row>
    <row r="127" spans="2:29">
      <c r="B127" s="27" t="s">
        <v>187</v>
      </c>
      <c r="C127" s="13">
        <f t="shared" si="3"/>
        <v>0</v>
      </c>
      <c r="F127" s="10">
        <f>+'13'!D1</f>
        <v>46155</v>
      </c>
      <c r="G127" s="11" t="str">
        <f>+'13'!A7</f>
        <v/>
      </c>
      <c r="H127" s="11">
        <f>+'13'!B7</f>
        <v>0</v>
      </c>
      <c r="I127" s="11">
        <f>+'13'!C7</f>
        <v>0</v>
      </c>
      <c r="J127" s="11">
        <f>+'13'!D7</f>
        <v>0</v>
      </c>
      <c r="K127" s="13">
        <f>+'13'!E7</f>
        <v>0</v>
      </c>
      <c r="M127" s="10">
        <f>+'11'!D1</f>
        <v>46153</v>
      </c>
      <c r="N127" s="11" t="str">
        <f>+'11'!A27</f>
        <v/>
      </c>
      <c r="O127" s="11">
        <f>+'11'!B27</f>
        <v>0</v>
      </c>
      <c r="P127" s="11">
        <f>+'11'!C27</f>
        <v>0</v>
      </c>
      <c r="Q127" s="11">
        <f>+'11'!D27</f>
        <v>0</v>
      </c>
      <c r="R127" s="13">
        <f>+'11'!E27</f>
        <v>0</v>
      </c>
      <c r="T127" s="10">
        <f>+'7'!D1</f>
        <v>46149</v>
      </c>
      <c r="U127" s="56" t="str">
        <f>+'7'!A40</f>
        <v/>
      </c>
      <c r="V127" s="56">
        <f>+'7'!B40</f>
        <v>0</v>
      </c>
      <c r="W127" s="56">
        <f>+'7'!C40</f>
        <v>0</v>
      </c>
      <c r="X127" s="56">
        <f>+'7'!D40</f>
        <v>0</v>
      </c>
      <c r="Y127" s="61">
        <f>+'7'!E40</f>
        <v>0</v>
      </c>
      <c r="AB127" s="56"/>
      <c r="AC127" s="62"/>
    </row>
    <row r="128" spans="2:29">
      <c r="B128" s="27" t="s">
        <v>188</v>
      </c>
      <c r="C128" s="13">
        <f t="shared" si="3"/>
        <v>0</v>
      </c>
      <c r="F128" s="10">
        <f>+'13'!D1</f>
        <v>46155</v>
      </c>
      <c r="G128" s="11" t="str">
        <f>+'13'!A8</f>
        <v/>
      </c>
      <c r="H128" s="11">
        <f>+'13'!B8</f>
        <v>0</v>
      </c>
      <c r="I128" s="11">
        <f>+'13'!C8</f>
        <v>0</v>
      </c>
      <c r="J128" s="11">
        <f>+'13'!D8</f>
        <v>0</v>
      </c>
      <c r="K128" s="13">
        <f>+'13'!E8</f>
        <v>0</v>
      </c>
      <c r="M128" s="10">
        <f>+'11'!D1</f>
        <v>46153</v>
      </c>
      <c r="N128" s="11" t="str">
        <f>+'11'!A28</f>
        <v/>
      </c>
      <c r="O128" s="11">
        <f>+'11'!B28</f>
        <v>0</v>
      </c>
      <c r="P128" s="11">
        <f>+'11'!C28</f>
        <v>0</v>
      </c>
      <c r="Q128" s="11">
        <f>+'11'!D28</f>
        <v>0</v>
      </c>
      <c r="R128" s="13">
        <f>+'11'!E28</f>
        <v>0</v>
      </c>
      <c r="T128" s="10">
        <f>+'7'!D1</f>
        <v>46149</v>
      </c>
      <c r="U128" s="56" t="str">
        <f>+'7'!A41</f>
        <v/>
      </c>
      <c r="V128" s="56">
        <f>+'7'!B41</f>
        <v>0</v>
      </c>
      <c r="W128" s="56">
        <f>+'7'!C41</f>
        <v>0</v>
      </c>
      <c r="X128" s="56">
        <f>+'7'!D41</f>
        <v>0</v>
      </c>
      <c r="Y128" s="61">
        <f>+'7'!E41</f>
        <v>0</v>
      </c>
      <c r="AB128" s="56"/>
      <c r="AC128" s="62"/>
    </row>
    <row r="129" spans="2:29">
      <c r="B129" s="27" t="s">
        <v>189</v>
      </c>
      <c r="C129" s="13">
        <f t="shared" si="3"/>
        <v>0</v>
      </c>
      <c r="F129" s="10">
        <f>+'13'!D1</f>
        <v>46155</v>
      </c>
      <c r="G129" s="11" t="str">
        <f>+'13'!A9</f>
        <v/>
      </c>
      <c r="H129" s="11">
        <f>+'13'!B9</f>
        <v>0</v>
      </c>
      <c r="I129" s="11">
        <f>+'13'!C9</f>
        <v>0</v>
      </c>
      <c r="J129" s="11" t="str">
        <f>+'13'!D9</f>
        <v> </v>
      </c>
      <c r="K129" s="13">
        <f>+'13'!E9</f>
        <v>0</v>
      </c>
      <c r="M129" s="10">
        <f>+'11'!D1</f>
        <v>46153</v>
      </c>
      <c r="N129" s="11" t="str">
        <f>+'11'!A29</f>
        <v/>
      </c>
      <c r="O129" s="11">
        <f>+'11'!B29</f>
        <v>0</v>
      </c>
      <c r="P129" s="11">
        <f>+'11'!C29</f>
        <v>0</v>
      </c>
      <c r="Q129" s="11">
        <f>+'11'!D29</f>
        <v>0</v>
      </c>
      <c r="R129" s="13">
        <f>+'11'!E29</f>
        <v>0</v>
      </c>
      <c r="T129" s="10">
        <f>+'7'!D1</f>
        <v>46149</v>
      </c>
      <c r="U129" s="56" t="str">
        <f>+'7'!A42</f>
        <v/>
      </c>
      <c r="V129" s="56">
        <f>+'7'!B42</f>
        <v>0</v>
      </c>
      <c r="W129" s="56">
        <f>+'7'!C42</f>
        <v>0</v>
      </c>
      <c r="X129" s="56">
        <f>+'7'!D42</f>
        <v>0</v>
      </c>
      <c r="Y129" s="61">
        <f>+'7'!E42</f>
        <v>0</v>
      </c>
      <c r="AB129" s="56"/>
      <c r="AC129" s="62"/>
    </row>
    <row r="130" spans="2:29">
      <c r="B130" s="27" t="s">
        <v>190</v>
      </c>
      <c r="C130" s="13">
        <f t="shared" si="3"/>
        <v>0</v>
      </c>
      <c r="F130" s="10">
        <f>+'13'!D1</f>
        <v>46155</v>
      </c>
      <c r="G130" s="11" t="str">
        <f>+'13'!A10</f>
        <v/>
      </c>
      <c r="H130" s="11">
        <f>+'13'!B10</f>
        <v>0</v>
      </c>
      <c r="I130" s="11">
        <f>+'13'!C10</f>
        <v>0</v>
      </c>
      <c r="J130" s="11">
        <f>+'13'!D10</f>
        <v>0</v>
      </c>
      <c r="K130" s="13">
        <f>+'13'!E10</f>
        <v>0</v>
      </c>
      <c r="M130" s="10">
        <f>+'11'!D1</f>
        <v>46153</v>
      </c>
      <c r="N130" s="11" t="str">
        <f>+'11'!A30</f>
        <v/>
      </c>
      <c r="O130" s="11">
        <f>+'11'!B30</f>
        <v>0</v>
      </c>
      <c r="P130" s="11">
        <f>+'11'!C30</f>
        <v>0</v>
      </c>
      <c r="Q130" s="11">
        <f>+'11'!D30</f>
        <v>0</v>
      </c>
      <c r="R130" s="13">
        <f>+'11'!E30</f>
        <v>0</v>
      </c>
      <c r="T130" s="10">
        <f>+'7'!D1</f>
        <v>46149</v>
      </c>
      <c r="U130" s="56" t="str">
        <f>+'7'!A43</f>
        <v/>
      </c>
      <c r="V130" s="56">
        <f>+'7'!B43</f>
        <v>0</v>
      </c>
      <c r="W130" s="56">
        <f>+'7'!C43</f>
        <v>0</v>
      </c>
      <c r="X130" s="56">
        <f>+'7'!D43</f>
        <v>0</v>
      </c>
      <c r="Y130" s="61">
        <f>+'7'!E43</f>
        <v>0</v>
      </c>
      <c r="AB130" s="56"/>
      <c r="AC130" s="62"/>
    </row>
    <row r="131" spans="2:29">
      <c r="B131" s="27" t="s">
        <v>191</v>
      </c>
      <c r="C131" s="13">
        <f t="shared" si="3"/>
        <v>0</v>
      </c>
      <c r="F131" s="10">
        <f>+'13'!D1</f>
        <v>46155</v>
      </c>
      <c r="G131" s="11" t="str">
        <f>+'13'!A11</f>
        <v/>
      </c>
      <c r="H131" s="11">
        <f>+'13'!B11</f>
        <v>0</v>
      </c>
      <c r="I131" s="11">
        <f>+'13'!C11</f>
        <v>0</v>
      </c>
      <c r="J131" s="11">
        <f>+'13'!D11</f>
        <v>0</v>
      </c>
      <c r="K131" s="13">
        <f>+'13'!E11</f>
        <v>0</v>
      </c>
      <c r="M131" s="10">
        <f>+'11'!D1</f>
        <v>46153</v>
      </c>
      <c r="N131" s="11" t="str">
        <f>+'11'!A31</f>
        <v/>
      </c>
      <c r="O131" s="11">
        <f>+'11'!B31</f>
        <v>0</v>
      </c>
      <c r="P131" s="11">
        <f>+'11'!C31</f>
        <v>0</v>
      </c>
      <c r="Q131" s="11">
        <f>+'11'!D31</f>
        <v>0</v>
      </c>
      <c r="R131" s="13">
        <f>+'11'!E31</f>
        <v>0</v>
      </c>
      <c r="T131" s="10">
        <f>+'7'!D1</f>
        <v>46149</v>
      </c>
      <c r="U131" s="56" t="str">
        <f>+'7'!A44</f>
        <v/>
      </c>
      <c r="V131" s="56">
        <f>+'7'!B44</f>
        <v>0</v>
      </c>
      <c r="W131" s="56">
        <f>+'7'!C44</f>
        <v>0</v>
      </c>
      <c r="X131" s="56">
        <f>+'7'!D44</f>
        <v>0</v>
      </c>
      <c r="Y131" s="61">
        <f>+'7'!E44</f>
        <v>0</v>
      </c>
      <c r="AB131" s="56"/>
      <c r="AC131" s="62"/>
    </row>
    <row r="132" spans="2:29">
      <c r="B132" s="27" t="s">
        <v>192</v>
      </c>
      <c r="C132" s="13">
        <f t="shared" si="3"/>
        <v>0</v>
      </c>
      <c r="F132" s="10">
        <f>+'13'!D1</f>
        <v>46155</v>
      </c>
      <c r="G132" s="11" t="str">
        <f>+'13'!A12</f>
        <v/>
      </c>
      <c r="H132" s="11">
        <f>+'13'!B12</f>
        <v>0</v>
      </c>
      <c r="I132" s="11">
        <f>+'13'!C12</f>
        <v>0</v>
      </c>
      <c r="J132" s="11">
        <f>+'13'!D12</f>
        <v>0</v>
      </c>
      <c r="K132" s="13">
        <f>+'13'!E12</f>
        <v>0</v>
      </c>
      <c r="M132" s="10">
        <f>+'11'!D1</f>
        <v>46153</v>
      </c>
      <c r="N132" s="11" t="str">
        <f>+'11'!A32</f>
        <v/>
      </c>
      <c r="O132" s="11">
        <f>+'11'!B32</f>
        <v>0</v>
      </c>
      <c r="P132" s="11">
        <f>+'11'!C32</f>
        <v>0</v>
      </c>
      <c r="Q132" s="11">
        <f>+'11'!D32</f>
        <v>0</v>
      </c>
      <c r="R132" s="13">
        <f>+'11'!E32</f>
        <v>0</v>
      </c>
      <c r="T132" s="10">
        <f>+'7'!D1</f>
        <v>46149</v>
      </c>
      <c r="U132" s="56" t="str">
        <f>+'7'!A45</f>
        <v/>
      </c>
      <c r="V132" s="56">
        <f>+'7'!B45</f>
        <v>0</v>
      </c>
      <c r="W132" s="56">
        <f>+'7'!C45</f>
        <v>0</v>
      </c>
      <c r="X132" s="56">
        <f>+'7'!D45</f>
        <v>0</v>
      </c>
      <c r="Y132" s="61">
        <f>+'7'!E45</f>
        <v>0</v>
      </c>
      <c r="AB132" s="56"/>
      <c r="AC132" s="62"/>
    </row>
    <row r="133" spans="2:29">
      <c r="B133" s="27" t="s">
        <v>193</v>
      </c>
      <c r="C133" s="13">
        <f t="shared" si="3"/>
        <v>0</v>
      </c>
      <c r="F133" s="10">
        <f>+'14'!D1</f>
        <v>46156</v>
      </c>
      <c r="G133" s="11" t="str">
        <f>+'14'!A3</f>
        <v/>
      </c>
      <c r="H133" s="11">
        <f>+'14'!B3</f>
        <v>0</v>
      </c>
      <c r="I133" s="11">
        <f>+'14'!C3</f>
        <v>0</v>
      </c>
      <c r="J133" s="11">
        <f>+'14'!D3</f>
        <v>0</v>
      </c>
      <c r="K133" s="13">
        <f>+'14'!E3</f>
        <v>0</v>
      </c>
      <c r="M133" s="10">
        <f>+'11'!D1</f>
        <v>46153</v>
      </c>
      <c r="N133" s="11" t="str">
        <f>+'11'!A33</f>
        <v/>
      </c>
      <c r="O133" s="11">
        <f>+'11'!B33</f>
        <v>0</v>
      </c>
      <c r="P133" s="11">
        <f>+'11'!C33</f>
        <v>0</v>
      </c>
      <c r="Q133" s="11">
        <f>+'11'!D33</f>
        <v>0</v>
      </c>
      <c r="R133" s="13">
        <f>+'11'!E33</f>
        <v>0</v>
      </c>
      <c r="T133" s="10">
        <f>+'7'!D1</f>
        <v>46149</v>
      </c>
      <c r="U133" s="56" t="str">
        <f>+'7'!A46</f>
        <v/>
      </c>
      <c r="V133" s="56">
        <f>+'7'!B46</f>
        <v>0</v>
      </c>
      <c r="W133" s="56">
        <f>+'7'!C46</f>
        <v>0</v>
      </c>
      <c r="X133" s="56">
        <f>+'7'!D46</f>
        <v>0</v>
      </c>
      <c r="Y133" s="61">
        <f>+'7'!E46</f>
        <v>0</v>
      </c>
      <c r="AB133" s="56"/>
      <c r="AC133" s="62"/>
    </row>
    <row r="134" spans="2:29">
      <c r="B134" s="27" t="s">
        <v>194</v>
      </c>
      <c r="C134" s="13">
        <f t="shared" si="3"/>
        <v>0</v>
      </c>
      <c r="F134" s="10">
        <f>+'14'!D1</f>
        <v>46156</v>
      </c>
      <c r="G134" s="11" t="str">
        <f>+'14'!A4</f>
        <v/>
      </c>
      <c r="H134" s="11">
        <f>+'14'!B4</f>
        <v>0</v>
      </c>
      <c r="I134" s="11">
        <f>+'14'!C4</f>
        <v>0</v>
      </c>
      <c r="J134" s="11">
        <f>+'14'!D4</f>
        <v>0</v>
      </c>
      <c r="K134" s="13">
        <f>+'14'!E4</f>
        <v>0</v>
      </c>
      <c r="M134" s="10">
        <f>+'11'!D1</f>
        <v>46153</v>
      </c>
      <c r="N134" s="11" t="str">
        <f>+'11'!A34</f>
        <v/>
      </c>
      <c r="O134" s="11">
        <f>+'11'!B34</f>
        <v>0</v>
      </c>
      <c r="P134" s="11">
        <f>+'11'!C34</f>
        <v>0</v>
      </c>
      <c r="Q134" s="11">
        <f>+'11'!D34</f>
        <v>0</v>
      </c>
      <c r="R134" s="13">
        <f>+'11'!E34</f>
        <v>0</v>
      </c>
      <c r="T134" s="10">
        <f>+'7'!D1</f>
        <v>46149</v>
      </c>
      <c r="U134" s="56" t="str">
        <f>+'7'!A47</f>
        <v/>
      </c>
      <c r="V134" s="56">
        <f>+'7'!B47</f>
        <v>0</v>
      </c>
      <c r="W134" s="56">
        <f>+'7'!C47</f>
        <v>0</v>
      </c>
      <c r="X134" s="56">
        <f>+'7'!D47</f>
        <v>0</v>
      </c>
      <c r="Y134" s="61">
        <f>+'7'!E47</f>
        <v>0</v>
      </c>
      <c r="AB134" s="56"/>
      <c r="AC134" s="62"/>
    </row>
    <row r="135" spans="2:29">
      <c r="B135" s="27" t="s">
        <v>195</v>
      </c>
      <c r="C135" s="13">
        <f>SUMIF(B49:B112,B135,C49:C112)</f>
        <v>0</v>
      </c>
      <c r="F135" s="10">
        <f>+'14'!D1</f>
        <v>46156</v>
      </c>
      <c r="G135" s="11" t="str">
        <f>+'14'!A5</f>
        <v/>
      </c>
      <c r="H135" s="11">
        <f>+'14'!B5</f>
        <v>0</v>
      </c>
      <c r="I135" s="11">
        <f>+'14'!C5</f>
        <v>0</v>
      </c>
      <c r="J135" s="11">
        <f>+'14'!D5</f>
        <v>0</v>
      </c>
      <c r="K135" s="13">
        <f>+'14'!E5</f>
        <v>0</v>
      </c>
      <c r="M135" s="10">
        <f>+'12'!D1</f>
        <v>46154</v>
      </c>
      <c r="N135" s="11" t="str">
        <f>+'12'!A23</f>
        <v/>
      </c>
      <c r="O135" s="11">
        <f>+'12'!B23</f>
        <v>0</v>
      </c>
      <c r="P135" s="11">
        <f>+'12'!C23</f>
        <v>0</v>
      </c>
      <c r="Q135" s="11">
        <f>+'12'!D23</f>
        <v>0</v>
      </c>
      <c r="R135" s="13">
        <f>+'12'!E23</f>
        <v>0</v>
      </c>
      <c r="T135" s="10">
        <f>+'7'!D1</f>
        <v>46149</v>
      </c>
      <c r="U135" s="56" t="str">
        <f>+'7'!A48</f>
        <v/>
      </c>
      <c r="V135" s="56">
        <f>+'7'!B48</f>
        <v>0</v>
      </c>
      <c r="W135" s="56">
        <f>+'7'!C48</f>
        <v>0</v>
      </c>
      <c r="X135" s="56">
        <f>+'7'!D48</f>
        <v>0</v>
      </c>
      <c r="Y135" s="61">
        <f>+'7'!E48</f>
        <v>0</v>
      </c>
      <c r="AB135" s="56"/>
      <c r="AC135" s="62"/>
    </row>
    <row r="136" spans="2:29">
      <c r="B136" s="27" t="s">
        <v>196</v>
      </c>
      <c r="C136" s="13">
        <f>SUMIF(B50:B113,B136,C50:C113)</f>
        <v>0</v>
      </c>
      <c r="F136" s="10">
        <f>+'14'!D1</f>
        <v>46156</v>
      </c>
      <c r="G136" s="11" t="str">
        <f>+'14'!A6</f>
        <v/>
      </c>
      <c r="H136" s="11">
        <f>+'14'!B6</f>
        <v>0</v>
      </c>
      <c r="I136" s="11">
        <f>+'14'!C6</f>
        <v>0</v>
      </c>
      <c r="J136" s="11">
        <f>+'14'!D6</f>
        <v>0</v>
      </c>
      <c r="K136" s="13">
        <f>+'14'!E6</f>
        <v>0</v>
      </c>
      <c r="M136" s="10">
        <f>+'12'!D1</f>
        <v>46154</v>
      </c>
      <c r="N136" s="11" t="str">
        <f>+'12'!A24</f>
        <v/>
      </c>
      <c r="O136" s="11">
        <f>+'12'!B24</f>
        <v>0</v>
      </c>
      <c r="P136" s="11">
        <f>+'12'!C24</f>
        <v>0</v>
      </c>
      <c r="Q136" s="11">
        <f>+'12'!D24</f>
        <v>0</v>
      </c>
      <c r="R136" s="13">
        <f>+'12'!E24</f>
        <v>0</v>
      </c>
      <c r="T136" s="10">
        <f>+'7'!D1</f>
        <v>46149</v>
      </c>
      <c r="U136" s="56" t="str">
        <f>+'7'!A49</f>
        <v/>
      </c>
      <c r="V136" s="56">
        <f>+'7'!B49</f>
        <v>0</v>
      </c>
      <c r="W136" s="56">
        <f>+'7'!C49</f>
        <v>0</v>
      </c>
      <c r="X136" s="56">
        <f>+'7'!D49</f>
        <v>0</v>
      </c>
      <c r="Y136" s="61">
        <f>+'7'!E49</f>
        <v>0</v>
      </c>
      <c r="AB136" s="56"/>
      <c r="AC136" s="62"/>
    </row>
    <row r="137" spans="2:29">
      <c r="B137" s="27" t="s">
        <v>197</v>
      </c>
      <c r="C137" s="13">
        <f>SUMIF(B51:B114,B137,C51:C114)</f>
        <v>0</v>
      </c>
      <c r="F137" s="10">
        <f>+'14'!D1</f>
        <v>46156</v>
      </c>
      <c r="G137" s="11" t="str">
        <f>+'14'!A7</f>
        <v/>
      </c>
      <c r="H137" s="11">
        <f>+'14'!B7</f>
        <v>0</v>
      </c>
      <c r="I137" s="11">
        <f>+'14'!C7</f>
        <v>0</v>
      </c>
      <c r="J137" s="11">
        <f>+'14'!D7</f>
        <v>0</v>
      </c>
      <c r="K137" s="13">
        <f>+'14'!E7</f>
        <v>0</v>
      </c>
      <c r="M137" s="10">
        <f>+'12'!D1</f>
        <v>46154</v>
      </c>
      <c r="N137" s="11" t="str">
        <f>+'12'!A25</f>
        <v/>
      </c>
      <c r="O137" s="11">
        <f>+'12'!B25</f>
        <v>0</v>
      </c>
      <c r="P137" s="11">
        <f>+'12'!C25</f>
        <v>0</v>
      </c>
      <c r="Q137" s="11">
        <f>+'12'!D25</f>
        <v>0</v>
      </c>
      <c r="R137" s="13">
        <f>+'12'!E25</f>
        <v>0</v>
      </c>
      <c r="T137" s="10">
        <f>+'7'!D1</f>
        <v>46149</v>
      </c>
      <c r="U137" s="56" t="str">
        <f>+'7'!A50</f>
        <v/>
      </c>
      <c r="V137" s="56">
        <f>+'7'!B50</f>
        <v>0</v>
      </c>
      <c r="W137" s="56">
        <f>+'7'!C50</f>
        <v>0</v>
      </c>
      <c r="X137" s="56">
        <f>+'7'!D50</f>
        <v>0</v>
      </c>
      <c r="Y137" s="61">
        <f>+'7'!E50</f>
        <v>0</v>
      </c>
      <c r="AB137" s="56"/>
      <c r="AC137" s="62"/>
    </row>
    <row r="138" spans="2:29">
      <c r="B138" s="27" t="s">
        <v>193</v>
      </c>
      <c r="C138" s="13">
        <f t="shared" ref="C138:C144" si="4">SUMIF(B56:B115,B138,C56:C115)</f>
        <v>0</v>
      </c>
      <c r="F138" s="10">
        <f>+'14'!D1</f>
        <v>46156</v>
      </c>
      <c r="G138" s="11" t="str">
        <f>+'14'!A8</f>
        <v/>
      </c>
      <c r="H138" s="11">
        <f>+'14'!B8</f>
        <v>0</v>
      </c>
      <c r="I138" s="11">
        <f>+'14'!C8</f>
        <v>0</v>
      </c>
      <c r="J138" s="11">
        <f>+'14'!D8</f>
        <v>0</v>
      </c>
      <c r="K138" s="13">
        <f>+'14'!E8</f>
        <v>0</v>
      </c>
      <c r="M138" s="10">
        <f>+'12'!D1</f>
        <v>46154</v>
      </c>
      <c r="N138" s="11" t="str">
        <f>+'12'!A26</f>
        <v/>
      </c>
      <c r="O138" s="11">
        <f>+'12'!B26</f>
        <v>0</v>
      </c>
      <c r="P138" s="11">
        <f>+'12'!C26</f>
        <v>0</v>
      </c>
      <c r="Q138" s="11">
        <f>+'12'!D26</f>
        <v>0</v>
      </c>
      <c r="R138" s="13">
        <f>+'12'!E26</f>
        <v>0</v>
      </c>
      <c r="T138" s="10">
        <f>+'7'!D1</f>
        <v>46149</v>
      </c>
      <c r="U138" s="56" t="str">
        <f>+'7'!A51</f>
        <v/>
      </c>
      <c r="V138" s="56">
        <f>+'7'!B51</f>
        <v>0</v>
      </c>
      <c r="W138" s="56">
        <f>+'7'!C51</f>
        <v>0</v>
      </c>
      <c r="X138" s="56">
        <f>+'7'!D51</f>
        <v>0</v>
      </c>
      <c r="Y138" s="61">
        <f>+'7'!E51</f>
        <v>0</v>
      </c>
      <c r="AB138" s="56"/>
      <c r="AC138" s="62"/>
    </row>
    <row r="139" spans="2:29">
      <c r="B139" s="27" t="s">
        <v>198</v>
      </c>
      <c r="C139" s="13">
        <f t="shared" si="4"/>
        <v>0</v>
      </c>
      <c r="F139" s="10">
        <f>+'14'!D1</f>
        <v>46156</v>
      </c>
      <c r="G139" s="11" t="str">
        <f>+'14'!A9</f>
        <v/>
      </c>
      <c r="H139" s="11">
        <f>+'14'!B9</f>
        <v>0</v>
      </c>
      <c r="I139" s="11">
        <f>+'14'!C9</f>
        <v>0</v>
      </c>
      <c r="J139" s="11" t="str">
        <f>+'14'!D9</f>
        <v> </v>
      </c>
      <c r="K139" s="13">
        <f>+'14'!E9</f>
        <v>0</v>
      </c>
      <c r="M139" s="10">
        <f>+'12'!D1</f>
        <v>46154</v>
      </c>
      <c r="N139" s="11" t="str">
        <f>+'12'!A27</f>
        <v/>
      </c>
      <c r="O139" s="11">
        <f>+'12'!B27</f>
        <v>0</v>
      </c>
      <c r="P139" s="11">
        <f>+'12'!C27</f>
        <v>0</v>
      </c>
      <c r="Q139" s="11">
        <f>+'12'!D27</f>
        <v>0</v>
      </c>
      <c r="R139" s="13">
        <f>+'12'!E27</f>
        <v>0</v>
      </c>
      <c r="T139" s="10">
        <f>+'7'!D1</f>
        <v>46149</v>
      </c>
      <c r="U139" s="56" t="str">
        <f>+'7'!A52</f>
        <v/>
      </c>
      <c r="V139" s="56">
        <f>+'7'!B52</f>
        <v>0</v>
      </c>
      <c r="W139" s="56">
        <f>+'7'!C52</f>
        <v>0</v>
      </c>
      <c r="X139" s="56">
        <f>+'7'!D52</f>
        <v>0</v>
      </c>
      <c r="Y139" s="61">
        <f>+'7'!E52</f>
        <v>0</v>
      </c>
      <c r="AB139" s="56"/>
      <c r="AC139" s="62"/>
    </row>
    <row r="140" spans="2:29">
      <c r="B140" s="27" t="s">
        <v>193</v>
      </c>
      <c r="C140" s="13">
        <f t="shared" si="4"/>
        <v>0</v>
      </c>
      <c r="F140" s="10">
        <f>+'14'!D1</f>
        <v>46156</v>
      </c>
      <c r="G140" s="11" t="str">
        <f>+'14'!A10</f>
        <v/>
      </c>
      <c r="H140" s="11">
        <f>+'14'!B10</f>
        <v>0</v>
      </c>
      <c r="I140" s="11">
        <f>+'14'!C10</f>
        <v>0</v>
      </c>
      <c r="J140" s="11">
        <f>+'14'!D10</f>
        <v>0</v>
      </c>
      <c r="K140" s="13">
        <f>+'14'!E10</f>
        <v>0</v>
      </c>
      <c r="M140" s="10">
        <f>+'12'!D1</f>
        <v>46154</v>
      </c>
      <c r="N140" s="11" t="str">
        <f>+'12'!A28</f>
        <v/>
      </c>
      <c r="O140" s="11">
        <f>+'12'!B28</f>
        <v>0</v>
      </c>
      <c r="P140" s="11">
        <f>+'12'!C28</f>
        <v>0</v>
      </c>
      <c r="Q140" s="11">
        <f>+'12'!D28</f>
        <v>0</v>
      </c>
      <c r="R140" s="13">
        <f>+'12'!E28</f>
        <v>0</v>
      </c>
      <c r="T140" s="10">
        <f>+'7'!D1</f>
        <v>46149</v>
      </c>
      <c r="U140" s="56" t="str">
        <f>+'7'!A53</f>
        <v/>
      </c>
      <c r="V140" s="56">
        <f>+'7'!B53</f>
        <v>0</v>
      </c>
      <c r="W140" s="56">
        <f>+'7'!C53</f>
        <v>0</v>
      </c>
      <c r="X140" s="56">
        <f>+'7'!D53</f>
        <v>0</v>
      </c>
      <c r="Y140" s="61">
        <f>+'7'!E53</f>
        <v>0</v>
      </c>
      <c r="AB140" s="56"/>
      <c r="AC140" s="62"/>
    </row>
    <row r="141" spans="2:29">
      <c r="B141" s="27">
        <v>1</v>
      </c>
      <c r="C141" s="13">
        <f t="shared" si="4"/>
        <v>0</v>
      </c>
      <c r="F141" s="10">
        <f>+'14'!D1</f>
        <v>46156</v>
      </c>
      <c r="G141" s="11" t="str">
        <f>+'14'!A11</f>
        <v/>
      </c>
      <c r="H141" s="11">
        <f>+'14'!B11</f>
        <v>0</v>
      </c>
      <c r="I141" s="11">
        <f>+'14'!C11</f>
        <v>0</v>
      </c>
      <c r="J141" s="11">
        <f>+'14'!D11</f>
        <v>0</v>
      </c>
      <c r="K141" s="13">
        <f>+'14'!E11</f>
        <v>0</v>
      </c>
      <c r="M141" s="10">
        <f>+'12'!D1</f>
        <v>46154</v>
      </c>
      <c r="N141" s="11" t="str">
        <f>+'12'!A29</f>
        <v/>
      </c>
      <c r="O141" s="11">
        <f>+'12'!B29</f>
        <v>0</v>
      </c>
      <c r="P141" s="11">
        <f>+'12'!C29</f>
        <v>0</v>
      </c>
      <c r="Q141" s="11">
        <f>+'12'!D29</f>
        <v>0</v>
      </c>
      <c r="R141" s="13">
        <f>+'12'!E29</f>
        <v>0</v>
      </c>
      <c r="T141" s="10">
        <f>+'7'!D1</f>
        <v>46149</v>
      </c>
      <c r="U141" s="56" t="str">
        <f>+'7'!A54</f>
        <v/>
      </c>
      <c r="V141" s="56">
        <f>+'7'!B54</f>
        <v>0</v>
      </c>
      <c r="W141" s="56">
        <f>+'7'!C54</f>
        <v>0</v>
      </c>
      <c r="X141" s="56">
        <f>+'7'!D54</f>
        <v>0</v>
      </c>
      <c r="Y141" s="61">
        <f>+'7'!E54</f>
        <v>0</v>
      </c>
      <c r="AB141" s="56"/>
      <c r="AC141" s="62"/>
    </row>
    <row r="142" spans="2:29">
      <c r="B142" s="27">
        <v>2</v>
      </c>
      <c r="C142" s="13">
        <f t="shared" si="4"/>
        <v>0</v>
      </c>
      <c r="F142" s="10">
        <f>+'14'!D1</f>
        <v>46156</v>
      </c>
      <c r="G142" s="11" t="str">
        <f>+'14'!A12</f>
        <v/>
      </c>
      <c r="H142" s="11">
        <f>+'14'!B12</f>
        <v>0</v>
      </c>
      <c r="I142" s="11">
        <f>+'14'!C12</f>
        <v>0</v>
      </c>
      <c r="J142" s="11">
        <f>+'14'!D12</f>
        <v>0</v>
      </c>
      <c r="K142" s="13">
        <f>+'14'!E12</f>
        <v>0</v>
      </c>
      <c r="M142" s="10">
        <f>+'12'!D1</f>
        <v>46154</v>
      </c>
      <c r="N142" s="11" t="str">
        <f>+'12'!A30</f>
        <v/>
      </c>
      <c r="O142" s="11">
        <f>+'12'!B30</f>
        <v>0</v>
      </c>
      <c r="P142" s="11">
        <f>+'12'!C30</f>
        <v>0</v>
      </c>
      <c r="Q142" s="11">
        <f>+'12'!D30</f>
        <v>0</v>
      </c>
      <c r="R142" s="13">
        <f>+'12'!E30</f>
        <v>0</v>
      </c>
      <c r="T142" s="10">
        <f>+'7'!D1</f>
        <v>46149</v>
      </c>
      <c r="U142" s="56" t="str">
        <f>+'7'!A55</f>
        <v/>
      </c>
      <c r="V142" s="56">
        <f>+'7'!B55</f>
        <v>0</v>
      </c>
      <c r="W142" s="56">
        <f>+'7'!C55</f>
        <v>0</v>
      </c>
      <c r="X142" s="56">
        <f>+'7'!D55</f>
        <v>0</v>
      </c>
      <c r="Y142" s="61">
        <f>+'7'!E55</f>
        <v>0</v>
      </c>
      <c r="AB142" s="56"/>
      <c r="AC142" s="62"/>
    </row>
    <row r="143" spans="2:29">
      <c r="B143" s="27">
        <v>3</v>
      </c>
      <c r="C143" s="13">
        <f t="shared" si="4"/>
        <v>0</v>
      </c>
      <c r="F143" s="10">
        <f>+'15'!D1</f>
        <v>46157</v>
      </c>
      <c r="G143" s="11" t="str">
        <f>+'15'!A3</f>
        <v/>
      </c>
      <c r="H143" s="11">
        <f>+'15'!B3</f>
        <v>0</v>
      </c>
      <c r="I143" s="11">
        <f>+'15'!C3</f>
        <v>0</v>
      </c>
      <c r="J143" s="11">
        <f>+'15'!D3</f>
        <v>0</v>
      </c>
      <c r="K143" s="13">
        <f>+'15'!E3</f>
        <v>0</v>
      </c>
      <c r="M143" s="10">
        <f>+'12'!D1</f>
        <v>46154</v>
      </c>
      <c r="N143" s="11" t="str">
        <f>+'12'!A31</f>
        <v/>
      </c>
      <c r="O143" s="11">
        <f>+'12'!B31</f>
        <v>0</v>
      </c>
      <c r="P143" s="11">
        <f>+'12'!C31</f>
        <v>0</v>
      </c>
      <c r="Q143" s="11">
        <f>+'12'!D31</f>
        <v>0</v>
      </c>
      <c r="R143" s="13">
        <f>+'12'!E31</f>
        <v>0</v>
      </c>
      <c r="T143" s="10">
        <f>+'8'!D1</f>
        <v>46150</v>
      </c>
      <c r="U143" s="56" t="str">
        <f>+'8'!A36</f>
        <v/>
      </c>
      <c r="V143" s="56">
        <f>+'8'!B36</f>
        <v>0</v>
      </c>
      <c r="W143" s="56">
        <f>+'8'!C36</f>
        <v>0</v>
      </c>
      <c r="X143" s="56">
        <f>+'8'!D36</f>
        <v>0</v>
      </c>
      <c r="Y143" s="61">
        <f>+'8'!E36</f>
        <v>0</v>
      </c>
      <c r="AB143" s="56"/>
      <c r="AC143" s="62"/>
    </row>
    <row r="144" spans="2:29">
      <c r="B144" s="27">
        <v>4</v>
      </c>
      <c r="C144" s="13">
        <f t="shared" si="4"/>
        <v>0</v>
      </c>
      <c r="F144" s="10">
        <f>+'15'!D1</f>
        <v>46157</v>
      </c>
      <c r="G144" s="11" t="str">
        <f>+'15'!A4</f>
        <v/>
      </c>
      <c r="H144" s="11">
        <f>+'15'!B4</f>
        <v>0</v>
      </c>
      <c r="I144" s="11">
        <f>+'15'!C4</f>
        <v>0</v>
      </c>
      <c r="J144" s="11">
        <f>+'15'!D4</f>
        <v>0</v>
      </c>
      <c r="K144" s="13">
        <f>+'15'!E4</f>
        <v>0</v>
      </c>
      <c r="M144" s="10">
        <f>+'12'!D1</f>
        <v>46154</v>
      </c>
      <c r="N144" s="11" t="str">
        <f>+'12'!A32</f>
        <v/>
      </c>
      <c r="O144" s="11">
        <f>+'12'!B32</f>
        <v>0</v>
      </c>
      <c r="P144" s="11">
        <f>+'12'!C32</f>
        <v>0</v>
      </c>
      <c r="Q144" s="11">
        <f>+'12'!D32</f>
        <v>0</v>
      </c>
      <c r="R144" s="13">
        <f>+'12'!E32</f>
        <v>0</v>
      </c>
      <c r="T144" s="10">
        <f>+'8'!D1</f>
        <v>46150</v>
      </c>
      <c r="U144" s="56" t="str">
        <f>+'8'!A37</f>
        <v/>
      </c>
      <c r="V144" s="56">
        <f>+'8'!B37</f>
        <v>0</v>
      </c>
      <c r="W144" s="56">
        <f>+'8'!C37</f>
        <v>0</v>
      </c>
      <c r="X144" s="56">
        <f>+'8'!D37</f>
        <v>0</v>
      </c>
      <c r="Y144" s="61">
        <f>+'8'!E37</f>
        <v>0</v>
      </c>
      <c r="AB144" s="56"/>
      <c r="AC144" s="62"/>
    </row>
    <row r="145" spans="2:29">
      <c r="B145" s="27">
        <v>5</v>
      </c>
      <c r="C145" s="13">
        <f>SUMIF(B65:B122,B145,C65:C122)</f>
        <v>0</v>
      </c>
      <c r="F145" s="10">
        <f>+'15'!D1</f>
        <v>46157</v>
      </c>
      <c r="G145" s="11" t="str">
        <f>+'15'!A5</f>
        <v/>
      </c>
      <c r="H145" s="11">
        <f>+'15'!B5</f>
        <v>0</v>
      </c>
      <c r="I145" s="11">
        <f>+'15'!C5</f>
        <v>0</v>
      </c>
      <c r="J145" s="11">
        <f>+'15'!D5</f>
        <v>0</v>
      </c>
      <c r="K145" s="13">
        <f>+'15'!E5</f>
        <v>0</v>
      </c>
      <c r="M145" s="10">
        <f>+'12'!D1</f>
        <v>46154</v>
      </c>
      <c r="N145" s="11" t="str">
        <f>+'12'!A33</f>
        <v/>
      </c>
      <c r="O145" s="11">
        <f>+'12'!B33</f>
        <v>0</v>
      </c>
      <c r="P145" s="11">
        <f>+'12'!C33</f>
        <v>0</v>
      </c>
      <c r="Q145" s="11">
        <f>+'12'!D33</f>
        <v>0</v>
      </c>
      <c r="R145" s="13">
        <f>+'12'!E33</f>
        <v>0</v>
      </c>
      <c r="T145" s="10">
        <f>+'8'!D1</f>
        <v>46150</v>
      </c>
      <c r="U145" s="56" t="str">
        <f>+'8'!A38</f>
        <v/>
      </c>
      <c r="V145" s="56">
        <f>+'8'!B38</f>
        <v>0</v>
      </c>
      <c r="W145" s="56">
        <f>+'8'!C38</f>
        <v>0</v>
      </c>
      <c r="X145" s="56">
        <f>+'8'!D38</f>
        <v>0</v>
      </c>
      <c r="Y145" s="61">
        <f>+'8'!E38</f>
        <v>0</v>
      </c>
      <c r="AB145" s="56"/>
      <c r="AC145" s="62"/>
    </row>
    <row r="146" spans="2:29">
      <c r="B146" s="27">
        <v>6</v>
      </c>
      <c r="C146" s="13">
        <f>SUMIF(B65:B123,B146,C65:C123)</f>
        <v>0</v>
      </c>
      <c r="F146" s="10">
        <f>+'15'!D1</f>
        <v>46157</v>
      </c>
      <c r="G146" s="11" t="str">
        <f>+'15'!A6</f>
        <v/>
      </c>
      <c r="H146" s="11">
        <f>+'15'!B6</f>
        <v>0</v>
      </c>
      <c r="I146" s="11">
        <f>+'15'!C6</f>
        <v>0</v>
      </c>
      <c r="J146" s="11">
        <f>+'15'!D6</f>
        <v>0</v>
      </c>
      <c r="K146" s="13">
        <f>+'15'!E6</f>
        <v>0</v>
      </c>
      <c r="M146" s="10">
        <f>+'12'!D1</f>
        <v>46154</v>
      </c>
      <c r="N146" s="11" t="str">
        <f>+'12'!A34</f>
        <v/>
      </c>
      <c r="O146" s="11">
        <f>+'12'!B34</f>
        <v>0</v>
      </c>
      <c r="P146" s="11">
        <f>+'12'!C34</f>
        <v>0</v>
      </c>
      <c r="Q146" s="11">
        <f>+'12'!D34</f>
        <v>0</v>
      </c>
      <c r="R146" s="13">
        <f>+'12'!E34</f>
        <v>0</v>
      </c>
      <c r="T146" s="10">
        <f>+'8'!D1</f>
        <v>46150</v>
      </c>
      <c r="U146" s="56" t="str">
        <f>+'8'!A39</f>
        <v/>
      </c>
      <c r="V146" s="56">
        <f>+'8'!B39</f>
        <v>0</v>
      </c>
      <c r="W146" s="56">
        <f>+'8'!C39</f>
        <v>0</v>
      </c>
      <c r="X146" s="56">
        <f>+'8'!D39</f>
        <v>0</v>
      </c>
      <c r="Y146" s="61">
        <f>+'8'!E39</f>
        <v>0</v>
      </c>
      <c r="AB146" s="56"/>
      <c r="AC146" s="62"/>
    </row>
    <row r="147" spans="2:29">
      <c r="B147" s="27" t="s">
        <v>199</v>
      </c>
      <c r="C147" s="13">
        <f>SUMIF(B62:B124,B147,C62:C124)</f>
        <v>0</v>
      </c>
      <c r="F147" s="10">
        <f>+'15'!D1</f>
        <v>46157</v>
      </c>
      <c r="G147" s="11" t="str">
        <f>+'15'!A7</f>
        <v/>
      </c>
      <c r="H147" s="11">
        <f>+'15'!B7</f>
        <v>0</v>
      </c>
      <c r="I147" s="11">
        <f>+'15'!C7</f>
        <v>0</v>
      </c>
      <c r="J147" s="11">
        <f>+'15'!D7</f>
        <v>0</v>
      </c>
      <c r="K147" s="13">
        <f>+'15'!E7</f>
        <v>0</v>
      </c>
      <c r="M147" s="10">
        <f>+'13'!D1</f>
        <v>46155</v>
      </c>
      <c r="N147" s="11" t="str">
        <f>+'13'!A23</f>
        <v/>
      </c>
      <c r="O147" s="11">
        <f>+'13'!B23</f>
        <v>0</v>
      </c>
      <c r="P147" s="11">
        <f>+'13'!C23</f>
        <v>0</v>
      </c>
      <c r="Q147" s="11">
        <f>+'13'!D23</f>
        <v>0</v>
      </c>
      <c r="R147" s="13">
        <f>+'13'!E23</f>
        <v>0</v>
      </c>
      <c r="T147" s="10">
        <f>+'8'!D1</f>
        <v>46150</v>
      </c>
      <c r="U147" s="56" t="str">
        <f>+'8'!A40</f>
        <v/>
      </c>
      <c r="V147" s="56">
        <f>+'8'!B40</f>
        <v>0</v>
      </c>
      <c r="W147" s="56">
        <f>+'8'!C40</f>
        <v>0</v>
      </c>
      <c r="X147" s="56">
        <f>+'8'!D40</f>
        <v>0</v>
      </c>
      <c r="Y147" s="61">
        <f>+'8'!E40</f>
        <v>0</v>
      </c>
      <c r="AB147" s="56"/>
      <c r="AC147" s="62"/>
    </row>
    <row r="148" spans="2:29">
      <c r="B148" s="27" t="s">
        <v>200</v>
      </c>
      <c r="C148" s="13">
        <f>SUMIF(B63:B125,B148,C63:C125)</f>
        <v>0</v>
      </c>
      <c r="F148" s="10">
        <f>+'15'!D1</f>
        <v>46157</v>
      </c>
      <c r="G148" s="11" t="str">
        <f>+'15'!A8</f>
        <v/>
      </c>
      <c r="H148" s="11">
        <f>+'15'!B8</f>
        <v>0</v>
      </c>
      <c r="I148" s="11">
        <f>+'15'!C8</f>
        <v>0</v>
      </c>
      <c r="J148" s="11">
        <f>+'15'!D8</f>
        <v>0</v>
      </c>
      <c r="K148" s="13">
        <f>+'15'!E8</f>
        <v>0</v>
      </c>
      <c r="M148" s="10">
        <f>+'13'!D1</f>
        <v>46155</v>
      </c>
      <c r="N148" s="11" t="str">
        <f>+'13'!A24</f>
        <v/>
      </c>
      <c r="O148" s="11">
        <f>+'13'!B24</f>
        <v>0</v>
      </c>
      <c r="P148" s="11">
        <f>+'13'!C24</f>
        <v>0</v>
      </c>
      <c r="Q148" s="11">
        <f>+'13'!D24</f>
        <v>0</v>
      </c>
      <c r="R148" s="13">
        <f>+'13'!E24</f>
        <v>0</v>
      </c>
      <c r="T148" s="10">
        <f>+'8'!D1</f>
        <v>46150</v>
      </c>
      <c r="U148" s="56" t="str">
        <f>+'8'!A41</f>
        <v/>
      </c>
      <c r="V148" s="56">
        <f>+'8'!B41</f>
        <v>0</v>
      </c>
      <c r="W148" s="56">
        <f>+'8'!C41</f>
        <v>0</v>
      </c>
      <c r="X148" s="56">
        <f>+'8'!D41</f>
        <v>0</v>
      </c>
      <c r="Y148" s="61">
        <f>+'8'!E41</f>
        <v>0</v>
      </c>
      <c r="AB148" s="56"/>
      <c r="AC148" s="62"/>
    </row>
    <row r="149" spans="2:29">
      <c r="B149" s="27" t="s">
        <v>137</v>
      </c>
      <c r="C149" s="13">
        <f>SUM(C87:C148)</f>
        <v>0</v>
      </c>
      <c r="F149" s="10">
        <f>+'15'!D1</f>
        <v>46157</v>
      </c>
      <c r="G149" s="11" t="str">
        <f>+'15'!A9</f>
        <v/>
      </c>
      <c r="H149" s="11">
        <f>+'15'!B9</f>
        <v>0</v>
      </c>
      <c r="I149" s="11">
        <f>+'15'!C9</f>
        <v>0</v>
      </c>
      <c r="J149" s="11" t="str">
        <f>+'15'!D9</f>
        <v> </v>
      </c>
      <c r="K149" s="13">
        <f>+'15'!E9</f>
        <v>0</v>
      </c>
      <c r="M149" s="10">
        <f>+'13'!D1</f>
        <v>46155</v>
      </c>
      <c r="N149" s="11" t="str">
        <f>+'13'!A25</f>
        <v/>
      </c>
      <c r="O149" s="11">
        <f>+'13'!B25</f>
        <v>0</v>
      </c>
      <c r="P149" s="11">
        <f>+'13'!C25</f>
        <v>0</v>
      </c>
      <c r="Q149" s="11">
        <f>+'13'!D25</f>
        <v>0</v>
      </c>
      <c r="R149" s="13">
        <f>+'13'!E25</f>
        <v>0</v>
      </c>
      <c r="T149" s="10">
        <f>+'8'!D1</f>
        <v>46150</v>
      </c>
      <c r="U149" s="56" t="str">
        <f>+'8'!A42</f>
        <v/>
      </c>
      <c r="V149" s="56">
        <f>+'8'!B42</f>
        <v>0</v>
      </c>
      <c r="W149" s="56">
        <f>+'8'!C42</f>
        <v>0</v>
      </c>
      <c r="X149" s="56">
        <f>+'8'!D42</f>
        <v>0</v>
      </c>
      <c r="Y149" s="61">
        <f>+'8'!E42</f>
        <v>0</v>
      </c>
      <c r="AB149" s="56"/>
      <c r="AC149" s="62"/>
    </row>
    <row r="150" spans="2:29">
      <c r="B150" s="27" t="s">
        <v>138</v>
      </c>
      <c r="C150" s="13">
        <f>+C63</f>
        <v>0</v>
      </c>
      <c r="F150" s="10">
        <f>+'15'!D1</f>
        <v>46157</v>
      </c>
      <c r="G150" s="11" t="str">
        <f>+'15'!A10</f>
        <v/>
      </c>
      <c r="H150" s="11">
        <f>+'15'!B10</f>
        <v>0</v>
      </c>
      <c r="I150" s="11">
        <f>+'15'!C10</f>
        <v>0</v>
      </c>
      <c r="J150" s="11">
        <f>+'15'!D10</f>
        <v>0</v>
      </c>
      <c r="K150" s="13">
        <f>+'15'!E10</f>
        <v>0</v>
      </c>
      <c r="M150" s="10">
        <f>+'13'!D1</f>
        <v>46155</v>
      </c>
      <c r="N150" s="11" t="str">
        <f>+'13'!A26</f>
        <v/>
      </c>
      <c r="O150" s="11">
        <f>+'13'!B26</f>
        <v>0</v>
      </c>
      <c r="P150" s="11">
        <f>+'13'!C26</f>
        <v>0</v>
      </c>
      <c r="Q150" s="11">
        <f>+'13'!D26</f>
        <v>0</v>
      </c>
      <c r="R150" s="13">
        <f>+'13'!E26</f>
        <v>0</v>
      </c>
      <c r="T150" s="10">
        <f>+'8'!D1</f>
        <v>46150</v>
      </c>
      <c r="U150" s="56" t="str">
        <f>+'8'!A43</f>
        <v/>
      </c>
      <c r="V150" s="56">
        <f>+'8'!B43</f>
        <v>0</v>
      </c>
      <c r="W150" s="56">
        <f>+'8'!C43</f>
        <v>0</v>
      </c>
      <c r="X150" s="56">
        <f>+'8'!D43</f>
        <v>0</v>
      </c>
      <c r="Y150" s="61">
        <f>+'8'!E43</f>
        <v>0</v>
      </c>
      <c r="AB150" s="56"/>
      <c r="AC150" s="62"/>
    </row>
    <row r="151" spans="2:29">
      <c r="B151" s="27" t="s">
        <v>17</v>
      </c>
      <c r="C151" s="13">
        <f>+C149-C150</f>
        <v>0</v>
      </c>
      <c r="F151" s="10">
        <f>+'15'!D1</f>
        <v>46157</v>
      </c>
      <c r="G151" s="11" t="str">
        <f>+'15'!A11</f>
        <v/>
      </c>
      <c r="H151" s="11">
        <f>+'15'!B11</f>
        <v>0</v>
      </c>
      <c r="I151" s="11">
        <f>+'15'!C11</f>
        <v>0</v>
      </c>
      <c r="J151" s="11">
        <f>+'15'!D11</f>
        <v>0</v>
      </c>
      <c r="K151" s="13">
        <f>+'15'!E11</f>
        <v>0</v>
      </c>
      <c r="M151" s="10">
        <f>+'13'!D1</f>
        <v>46155</v>
      </c>
      <c r="N151" s="11" t="str">
        <f>+'13'!A27</f>
        <v/>
      </c>
      <c r="O151" s="11">
        <f>+'13'!B27</f>
        <v>0</v>
      </c>
      <c r="P151" s="11">
        <f>+'13'!C27</f>
        <v>0</v>
      </c>
      <c r="Q151" s="11">
        <f>+'13'!D27</f>
        <v>0</v>
      </c>
      <c r="R151" s="13">
        <f>+'13'!E27</f>
        <v>0</v>
      </c>
      <c r="T151" s="10">
        <f>+'8'!D1</f>
        <v>46150</v>
      </c>
      <c r="U151" s="56" t="str">
        <f>+'8'!A44</f>
        <v/>
      </c>
      <c r="V151" s="56">
        <f>+'8'!B44</f>
        <v>0</v>
      </c>
      <c r="W151" s="56">
        <f>+'8'!C44</f>
        <v>0</v>
      </c>
      <c r="X151" s="56">
        <f>+'8'!D44</f>
        <v>0</v>
      </c>
      <c r="Y151" s="61">
        <f>+'8'!E44</f>
        <v>0</v>
      </c>
      <c r="AB151" s="56"/>
      <c r="AC151" s="62"/>
    </row>
    <row r="152" spans="6:29">
      <c r="F152" s="10">
        <f>+'15'!D1</f>
        <v>46157</v>
      </c>
      <c r="G152" s="11" t="str">
        <f>+'15'!A12</f>
        <v/>
      </c>
      <c r="H152" s="11">
        <f>+'15'!B12</f>
        <v>0</v>
      </c>
      <c r="I152" s="11">
        <f>+'15'!C12</f>
        <v>0</v>
      </c>
      <c r="J152" s="11">
        <f>+'15'!D12</f>
        <v>0</v>
      </c>
      <c r="K152" s="13">
        <f>+'15'!E12</f>
        <v>0</v>
      </c>
      <c r="M152" s="10">
        <f>+'13'!D1</f>
        <v>46155</v>
      </c>
      <c r="N152" s="11" t="str">
        <f>+'13'!A28</f>
        <v/>
      </c>
      <c r="O152" s="11">
        <f>+'13'!B28</f>
        <v>0</v>
      </c>
      <c r="P152" s="11">
        <f>+'13'!C28</f>
        <v>0</v>
      </c>
      <c r="Q152" s="11">
        <f>+'13'!D28</f>
        <v>0</v>
      </c>
      <c r="R152" s="13">
        <f>+'13'!E28</f>
        <v>0</v>
      </c>
      <c r="T152" s="10">
        <f>+'8'!D1</f>
        <v>46150</v>
      </c>
      <c r="U152" s="56" t="str">
        <f>+'8'!A45</f>
        <v/>
      </c>
      <c r="V152" s="56">
        <f>+'8'!B45</f>
        <v>0</v>
      </c>
      <c r="W152" s="56">
        <f>+'8'!C45</f>
        <v>0</v>
      </c>
      <c r="X152" s="56">
        <f>+'8'!D45</f>
        <v>0</v>
      </c>
      <c r="Y152" s="61">
        <f>+'8'!E45</f>
        <v>0</v>
      </c>
      <c r="AB152" s="56"/>
      <c r="AC152" s="62"/>
    </row>
    <row r="153" spans="6:29">
      <c r="F153" s="10">
        <f>+'16'!D1</f>
        <v>46158</v>
      </c>
      <c r="G153" s="11" t="str">
        <f>+'16'!A3</f>
        <v/>
      </c>
      <c r="H153" s="11">
        <f>+'16'!B3</f>
        <v>0</v>
      </c>
      <c r="I153" s="11">
        <f>+'16'!C3</f>
        <v>0</v>
      </c>
      <c r="J153" s="11">
        <f>+'16'!D3</f>
        <v>0</v>
      </c>
      <c r="K153" s="13">
        <f>+'16'!E3</f>
        <v>0</v>
      </c>
      <c r="M153" s="10">
        <f>+'13'!D1</f>
        <v>46155</v>
      </c>
      <c r="N153" s="11" t="str">
        <f>+'13'!A29</f>
        <v/>
      </c>
      <c r="O153" s="11">
        <f>+'13'!B29</f>
        <v>0</v>
      </c>
      <c r="P153" s="11">
        <f>+'13'!C29</f>
        <v>0</v>
      </c>
      <c r="Q153" s="11">
        <f>+'13'!D29</f>
        <v>0</v>
      </c>
      <c r="R153" s="13">
        <f>+'13'!E29</f>
        <v>0</v>
      </c>
      <c r="T153" s="10">
        <f>+'8'!D1</f>
        <v>46150</v>
      </c>
      <c r="U153" s="56" t="str">
        <f>+'8'!A46</f>
        <v/>
      </c>
      <c r="V153" s="56">
        <f>+'8'!B46</f>
        <v>0</v>
      </c>
      <c r="W153" s="56">
        <f>+'8'!C46</f>
        <v>0</v>
      </c>
      <c r="X153" s="56">
        <f>+'8'!D46</f>
        <v>0</v>
      </c>
      <c r="Y153" s="61">
        <f>+'8'!E46</f>
        <v>0</v>
      </c>
      <c r="AB153" s="56"/>
      <c r="AC153" s="62"/>
    </row>
    <row r="154" spans="6:29">
      <c r="F154" s="10">
        <f>+'16'!D1</f>
        <v>46158</v>
      </c>
      <c r="G154" s="11" t="str">
        <f>+'16'!A4</f>
        <v/>
      </c>
      <c r="H154" s="11">
        <f>+'16'!B4</f>
        <v>0</v>
      </c>
      <c r="I154" s="11">
        <f>+'16'!C4</f>
        <v>0</v>
      </c>
      <c r="J154" s="11">
        <f>+'16'!D4</f>
        <v>0</v>
      </c>
      <c r="K154" s="13">
        <f>+'16'!E4</f>
        <v>0</v>
      </c>
      <c r="M154" s="10">
        <f>+'13'!D1</f>
        <v>46155</v>
      </c>
      <c r="N154" s="11" t="str">
        <f>+'13'!A30</f>
        <v/>
      </c>
      <c r="O154" s="11">
        <f>+'13'!B30</f>
        <v>0</v>
      </c>
      <c r="P154" s="11">
        <f>+'13'!C30</f>
        <v>0</v>
      </c>
      <c r="Q154" s="11">
        <f>+'13'!D30</f>
        <v>0</v>
      </c>
      <c r="R154" s="13">
        <f>+'13'!E30</f>
        <v>0</v>
      </c>
      <c r="T154" s="10">
        <f>+'8'!D1</f>
        <v>46150</v>
      </c>
      <c r="U154" s="56" t="str">
        <f>+'8'!A47</f>
        <v/>
      </c>
      <c r="V154" s="56">
        <f>+'8'!B47</f>
        <v>0</v>
      </c>
      <c r="W154" s="56">
        <f>+'8'!C47</f>
        <v>0</v>
      </c>
      <c r="X154" s="56">
        <f>+'8'!D47</f>
        <v>0</v>
      </c>
      <c r="Y154" s="61">
        <f>+'8'!E47</f>
        <v>0</v>
      </c>
      <c r="AB154" s="56"/>
      <c r="AC154" s="62"/>
    </row>
    <row r="155" spans="6:29">
      <c r="F155" s="10">
        <f>+'16'!D1</f>
        <v>46158</v>
      </c>
      <c r="G155" s="11" t="str">
        <f>+'16'!A5</f>
        <v/>
      </c>
      <c r="H155" s="11">
        <f>+'16'!B5</f>
        <v>0</v>
      </c>
      <c r="I155" s="11">
        <f>+'16'!C5</f>
        <v>0</v>
      </c>
      <c r="J155" s="11">
        <f>+'16'!D5</f>
        <v>0</v>
      </c>
      <c r="K155" s="13">
        <f>+'16'!E5</f>
        <v>0</v>
      </c>
      <c r="M155" s="10">
        <f>+'13'!D1</f>
        <v>46155</v>
      </c>
      <c r="N155" s="11" t="str">
        <f>+'13'!A31</f>
        <v/>
      </c>
      <c r="O155" s="11">
        <f>+'13'!B31</f>
        <v>0</v>
      </c>
      <c r="P155" s="11">
        <f>+'13'!C31</f>
        <v>0</v>
      </c>
      <c r="Q155" s="11">
        <f>+'13'!D31</f>
        <v>0</v>
      </c>
      <c r="R155" s="13">
        <f>+'13'!E31</f>
        <v>0</v>
      </c>
      <c r="T155" s="10">
        <f>+'8'!D1</f>
        <v>46150</v>
      </c>
      <c r="U155" s="56" t="str">
        <f>+'8'!A48</f>
        <v/>
      </c>
      <c r="V155" s="56">
        <f>+'8'!B48</f>
        <v>0</v>
      </c>
      <c r="W155" s="56">
        <f>+'8'!C48</f>
        <v>0</v>
      </c>
      <c r="X155" s="56">
        <f>+'8'!D48</f>
        <v>0</v>
      </c>
      <c r="Y155" s="61">
        <f>+'8'!E48</f>
        <v>0</v>
      </c>
      <c r="AB155" s="56"/>
      <c r="AC155" s="62"/>
    </row>
    <row r="156" spans="6:29">
      <c r="F156" s="10">
        <f>+'16'!D1</f>
        <v>46158</v>
      </c>
      <c r="G156" s="11" t="str">
        <f>+'16'!A6</f>
        <v/>
      </c>
      <c r="H156" s="11">
        <f>+'16'!B6</f>
        <v>0</v>
      </c>
      <c r="I156" s="11">
        <f>+'16'!C6</f>
        <v>0</v>
      </c>
      <c r="J156" s="11">
        <f>+'16'!D6</f>
        <v>0</v>
      </c>
      <c r="K156" s="13">
        <f>+'16'!E6</f>
        <v>0</v>
      </c>
      <c r="M156" s="10">
        <f>+'13'!D1</f>
        <v>46155</v>
      </c>
      <c r="N156" s="11" t="str">
        <f>+'13'!A32</f>
        <v/>
      </c>
      <c r="O156" s="11">
        <f>+'13'!B32</f>
        <v>0</v>
      </c>
      <c r="P156" s="11">
        <f>+'13'!C32</f>
        <v>0</v>
      </c>
      <c r="Q156" s="11">
        <f>+'13'!D32</f>
        <v>0</v>
      </c>
      <c r="R156" s="13">
        <f>+'13'!E32</f>
        <v>0</v>
      </c>
      <c r="T156" s="10">
        <f>+'8'!D1</f>
        <v>46150</v>
      </c>
      <c r="U156" s="56" t="str">
        <f>+'8'!A49</f>
        <v/>
      </c>
      <c r="V156" s="56">
        <f>+'8'!B49</f>
        <v>0</v>
      </c>
      <c r="W156" s="56">
        <f>+'8'!C49</f>
        <v>0</v>
      </c>
      <c r="X156" s="56">
        <f>+'8'!D49</f>
        <v>0</v>
      </c>
      <c r="Y156" s="61">
        <f>+'8'!E49</f>
        <v>0</v>
      </c>
      <c r="AB156" s="56"/>
      <c r="AC156" s="62"/>
    </row>
    <row r="157" spans="6:29">
      <c r="F157" s="10">
        <f>+'16'!D1</f>
        <v>46158</v>
      </c>
      <c r="G157" s="11" t="str">
        <f>+'16'!A7</f>
        <v/>
      </c>
      <c r="H157" s="11">
        <f>+'16'!B7</f>
        <v>0</v>
      </c>
      <c r="I157" s="11">
        <f>+'16'!C7</f>
        <v>0</v>
      </c>
      <c r="J157" s="11">
        <f>+'16'!D7</f>
        <v>0</v>
      </c>
      <c r="K157" s="13">
        <f>+'16'!E7</f>
        <v>0</v>
      </c>
      <c r="M157" s="10">
        <f>+'13'!D1</f>
        <v>46155</v>
      </c>
      <c r="N157" s="11" t="str">
        <f>+'13'!A33</f>
        <v/>
      </c>
      <c r="O157" s="11">
        <f>+'13'!B33</f>
        <v>0</v>
      </c>
      <c r="P157" s="11">
        <f>+'13'!C33</f>
        <v>0</v>
      </c>
      <c r="Q157" s="11">
        <f>+'13'!D33</f>
        <v>0</v>
      </c>
      <c r="R157" s="13">
        <f>+'13'!E33</f>
        <v>0</v>
      </c>
      <c r="T157" s="10">
        <f>+'8'!D1</f>
        <v>46150</v>
      </c>
      <c r="U157" s="56" t="str">
        <f>+'8'!A50</f>
        <v/>
      </c>
      <c r="V157" s="56">
        <f>+'8'!B50</f>
        <v>0</v>
      </c>
      <c r="W157" s="56">
        <f>+'8'!C50</f>
        <v>0</v>
      </c>
      <c r="X157" s="56">
        <f>+'8'!D50</f>
        <v>0</v>
      </c>
      <c r="Y157" s="61">
        <f>+'8'!E50</f>
        <v>0</v>
      </c>
      <c r="AB157" s="56"/>
      <c r="AC157" s="62"/>
    </row>
    <row r="158" spans="6:29">
      <c r="F158" s="10">
        <f>+'16'!D1</f>
        <v>46158</v>
      </c>
      <c r="G158" s="11" t="str">
        <f>+'16'!A8</f>
        <v/>
      </c>
      <c r="H158" s="11">
        <f>+'16'!B8</f>
        <v>0</v>
      </c>
      <c r="I158" s="11">
        <f>+'16'!C8</f>
        <v>0</v>
      </c>
      <c r="J158" s="11">
        <f>+'16'!D8</f>
        <v>0</v>
      </c>
      <c r="K158" s="13">
        <f>+'16'!E8</f>
        <v>0</v>
      </c>
      <c r="M158" s="10">
        <f>+'13'!D1</f>
        <v>46155</v>
      </c>
      <c r="N158" s="11" t="str">
        <f>+'13'!A34</f>
        <v/>
      </c>
      <c r="O158" s="11">
        <f>+'13'!B34</f>
        <v>0</v>
      </c>
      <c r="P158" s="11">
        <f>+'13'!C34</f>
        <v>0</v>
      </c>
      <c r="Q158" s="11">
        <f>+'13'!D34</f>
        <v>0</v>
      </c>
      <c r="R158" s="13">
        <f>+'13'!E34</f>
        <v>0</v>
      </c>
      <c r="T158" s="10">
        <f>+'8'!D1</f>
        <v>46150</v>
      </c>
      <c r="U158" s="56" t="str">
        <f>+'8'!A51</f>
        <v/>
      </c>
      <c r="V158" s="56">
        <f>+'8'!B51</f>
        <v>0</v>
      </c>
      <c r="W158" s="56">
        <f>+'8'!C51</f>
        <v>0</v>
      </c>
      <c r="X158" s="56">
        <f>+'8'!D51</f>
        <v>0</v>
      </c>
      <c r="Y158" s="61">
        <f>+'8'!E51</f>
        <v>0</v>
      </c>
      <c r="AB158" s="56"/>
      <c r="AC158" s="62"/>
    </row>
    <row r="159" spans="6:29">
      <c r="F159" s="10">
        <f>+'16'!D1</f>
        <v>46158</v>
      </c>
      <c r="G159" s="11" t="str">
        <f>+'16'!A9</f>
        <v/>
      </c>
      <c r="H159" s="11">
        <f>+'16'!B9</f>
        <v>0</v>
      </c>
      <c r="I159" s="11">
        <f>+'16'!C9</f>
        <v>0</v>
      </c>
      <c r="J159" s="11" t="str">
        <f>+'16'!D9</f>
        <v> </v>
      </c>
      <c r="K159" s="13">
        <f>+'16'!E9</f>
        <v>0</v>
      </c>
      <c r="M159" s="10">
        <f>+'14'!D1</f>
        <v>46156</v>
      </c>
      <c r="N159" s="11" t="str">
        <f>+'14'!A23</f>
        <v/>
      </c>
      <c r="O159" s="11">
        <f>+'14'!B23</f>
        <v>0</v>
      </c>
      <c r="P159" s="11">
        <f>+'14'!C23</f>
        <v>0</v>
      </c>
      <c r="Q159" s="11">
        <f>+'14'!D23</f>
        <v>0</v>
      </c>
      <c r="R159" s="13">
        <f>+'14'!E23</f>
        <v>0</v>
      </c>
      <c r="T159" s="10">
        <f>+'8'!D1</f>
        <v>46150</v>
      </c>
      <c r="U159" s="56" t="str">
        <f>+'8'!A52</f>
        <v/>
      </c>
      <c r="V159" s="56">
        <f>+'8'!B52</f>
        <v>0</v>
      </c>
      <c r="W159" s="56">
        <f>+'8'!C52</f>
        <v>0</v>
      </c>
      <c r="X159" s="56">
        <f>+'8'!D52</f>
        <v>0</v>
      </c>
      <c r="Y159" s="61">
        <f>+'8'!E52</f>
        <v>0</v>
      </c>
      <c r="AB159" s="56"/>
      <c r="AC159" s="62"/>
    </row>
    <row r="160" spans="6:29">
      <c r="F160" s="10">
        <f>+'16'!D1</f>
        <v>46158</v>
      </c>
      <c r="G160" s="11" t="str">
        <f>+'16'!A10</f>
        <v/>
      </c>
      <c r="H160" s="11">
        <f>+'16'!B10</f>
        <v>0</v>
      </c>
      <c r="I160" s="11">
        <f>+'16'!C10</f>
        <v>0</v>
      </c>
      <c r="J160" s="11">
        <f>+'16'!D10</f>
        <v>0</v>
      </c>
      <c r="K160" s="13">
        <f>+'16'!E10</f>
        <v>0</v>
      </c>
      <c r="M160" s="10">
        <f>+'14'!D1</f>
        <v>46156</v>
      </c>
      <c r="N160" s="11" t="str">
        <f>+'14'!A24</f>
        <v/>
      </c>
      <c r="O160" s="11">
        <f>+'14'!B24</f>
        <v>0</v>
      </c>
      <c r="P160" s="11">
        <f>+'14'!C24</f>
        <v>0</v>
      </c>
      <c r="Q160" s="11">
        <f>+'14'!D24</f>
        <v>0</v>
      </c>
      <c r="R160" s="13">
        <f>+'14'!E24</f>
        <v>0</v>
      </c>
      <c r="T160" s="10">
        <f>+'8'!D1</f>
        <v>46150</v>
      </c>
      <c r="U160" s="56" t="str">
        <f>+'8'!A53</f>
        <v/>
      </c>
      <c r="V160" s="56">
        <f>+'8'!B53</f>
        <v>0</v>
      </c>
      <c r="W160" s="56">
        <f>+'8'!C53</f>
        <v>0</v>
      </c>
      <c r="X160" s="56">
        <f>+'8'!D53</f>
        <v>0</v>
      </c>
      <c r="Y160" s="61">
        <f>+'8'!E53</f>
        <v>0</v>
      </c>
      <c r="AB160" s="56"/>
      <c r="AC160" s="62"/>
    </row>
    <row r="161" spans="6:29">
      <c r="F161" s="10">
        <f>+'16'!D1</f>
        <v>46158</v>
      </c>
      <c r="G161" s="11" t="str">
        <f>+'16'!A11</f>
        <v/>
      </c>
      <c r="H161" s="11">
        <f>+'16'!B11</f>
        <v>0</v>
      </c>
      <c r="I161" s="11">
        <f>+'16'!C11</f>
        <v>0</v>
      </c>
      <c r="J161" s="11">
        <f>+'16'!D11</f>
        <v>0</v>
      </c>
      <c r="K161" s="13">
        <f>+'16'!E11</f>
        <v>0</v>
      </c>
      <c r="M161" s="10">
        <f>+'14'!D1</f>
        <v>46156</v>
      </c>
      <c r="N161" s="11" t="str">
        <f>+'14'!A25</f>
        <v/>
      </c>
      <c r="O161" s="11">
        <f>+'14'!B25</f>
        <v>0</v>
      </c>
      <c r="P161" s="11">
        <f>+'14'!C25</f>
        <v>0</v>
      </c>
      <c r="Q161" s="11">
        <f>+'14'!D25</f>
        <v>0</v>
      </c>
      <c r="R161" s="13">
        <f>+'14'!E25</f>
        <v>0</v>
      </c>
      <c r="T161" s="10">
        <f>+'8'!D1</f>
        <v>46150</v>
      </c>
      <c r="U161" s="56" t="str">
        <f>+'8'!A54</f>
        <v/>
      </c>
      <c r="V161" s="56">
        <f>+'8'!B54</f>
        <v>0</v>
      </c>
      <c r="W161" s="56">
        <f>+'8'!C54</f>
        <v>0</v>
      </c>
      <c r="X161" s="56">
        <f>+'8'!D54</f>
        <v>0</v>
      </c>
      <c r="Y161" s="61">
        <f>+'8'!E54</f>
        <v>0</v>
      </c>
      <c r="AB161" s="56"/>
      <c r="AC161" s="62"/>
    </row>
    <row r="162" spans="6:29">
      <c r="F162" s="10">
        <f>+'16'!D1</f>
        <v>46158</v>
      </c>
      <c r="G162" s="11" t="str">
        <f>+'16'!A12</f>
        <v/>
      </c>
      <c r="H162" s="11">
        <f>+'16'!B12</f>
        <v>0</v>
      </c>
      <c r="I162" s="11">
        <f>+'16'!C12</f>
        <v>0</v>
      </c>
      <c r="J162" s="11">
        <f>+'16'!D12</f>
        <v>0</v>
      </c>
      <c r="K162" s="13">
        <f>+'16'!E12</f>
        <v>0</v>
      </c>
      <c r="M162" s="10">
        <f>+'14'!D1</f>
        <v>46156</v>
      </c>
      <c r="N162" s="11" t="str">
        <f>+'14'!A26</f>
        <v/>
      </c>
      <c r="O162" s="11">
        <f>+'14'!B26</f>
        <v>0</v>
      </c>
      <c r="P162" s="11">
        <f>+'14'!C26</f>
        <v>0</v>
      </c>
      <c r="Q162" s="11">
        <f>+'14'!D26</f>
        <v>0</v>
      </c>
      <c r="R162" s="13">
        <f>+'14'!E26</f>
        <v>0</v>
      </c>
      <c r="T162" s="10">
        <f>+'8'!D1</f>
        <v>46150</v>
      </c>
      <c r="U162" s="56" t="str">
        <f>+'8'!A55</f>
        <v/>
      </c>
      <c r="V162" s="56">
        <f>+'8'!B55</f>
        <v>0</v>
      </c>
      <c r="W162" s="56">
        <f>+'8'!C55</f>
        <v>0</v>
      </c>
      <c r="X162" s="56">
        <f>+'8'!D55</f>
        <v>0</v>
      </c>
      <c r="Y162" s="61">
        <f>+'8'!E55</f>
        <v>0</v>
      </c>
      <c r="AB162" s="56"/>
      <c r="AC162" s="62"/>
    </row>
    <row r="163" spans="6:29">
      <c r="F163" s="10">
        <f>+'17'!D1</f>
        <v>46159</v>
      </c>
      <c r="G163" s="11" t="str">
        <f>+'17'!A3</f>
        <v/>
      </c>
      <c r="H163" s="11">
        <f>+'17'!B3</f>
        <v>0</v>
      </c>
      <c r="I163" s="11">
        <f>+'17'!C3</f>
        <v>0</v>
      </c>
      <c r="J163" s="11">
        <f>+'17'!D3</f>
        <v>0</v>
      </c>
      <c r="K163" s="13">
        <f>+'17'!E3</f>
        <v>0</v>
      </c>
      <c r="M163" s="10">
        <f>+'14'!D1</f>
        <v>46156</v>
      </c>
      <c r="N163" s="11" t="str">
        <f>+'14'!A27</f>
        <v/>
      </c>
      <c r="O163" s="11">
        <f>+'14'!B27</f>
        <v>0</v>
      </c>
      <c r="P163" s="11">
        <f>+'14'!C27</f>
        <v>0</v>
      </c>
      <c r="Q163" s="11">
        <f>+'14'!D27</f>
        <v>0</v>
      </c>
      <c r="R163" s="13">
        <f>+'14'!E27</f>
        <v>0</v>
      </c>
      <c r="T163" s="10">
        <f>+'9'!D1</f>
        <v>46151</v>
      </c>
      <c r="U163" s="56" t="str">
        <f>+'9'!A36</f>
        <v/>
      </c>
      <c r="V163" s="56">
        <f>+'9'!B36</f>
        <v>0</v>
      </c>
      <c r="W163" s="56">
        <f>+'9'!C36</f>
        <v>0</v>
      </c>
      <c r="X163" s="56">
        <f>+'9'!D36</f>
        <v>0</v>
      </c>
      <c r="Y163" s="61">
        <f>+'9'!E36</f>
        <v>0</v>
      </c>
      <c r="AB163" s="56"/>
      <c r="AC163" s="62"/>
    </row>
    <row r="164" spans="6:29">
      <c r="F164" s="10">
        <f>+'17'!D1</f>
        <v>46159</v>
      </c>
      <c r="G164" s="11" t="str">
        <f>+'17'!A4</f>
        <v/>
      </c>
      <c r="H164" s="11">
        <f>+'17'!B4</f>
        <v>0</v>
      </c>
      <c r="I164" s="11">
        <f>+'17'!C4</f>
        <v>0</v>
      </c>
      <c r="J164" s="11">
        <f>+'17'!D4</f>
        <v>0</v>
      </c>
      <c r="K164" s="13">
        <f>+'17'!E4</f>
        <v>0</v>
      </c>
      <c r="M164" s="10">
        <f>+'14'!D1</f>
        <v>46156</v>
      </c>
      <c r="N164" s="11" t="str">
        <f>+'14'!A28</f>
        <v/>
      </c>
      <c r="O164" s="11">
        <f>+'14'!B28</f>
        <v>0</v>
      </c>
      <c r="P164" s="11">
        <f>+'14'!C28</f>
        <v>0</v>
      </c>
      <c r="Q164" s="11">
        <f>+'14'!D28</f>
        <v>0</v>
      </c>
      <c r="R164" s="13">
        <f>+'14'!E28</f>
        <v>0</v>
      </c>
      <c r="T164" s="10">
        <f>+'9'!D1</f>
        <v>46151</v>
      </c>
      <c r="U164" s="56" t="str">
        <f>+'9'!A37</f>
        <v/>
      </c>
      <c r="V164" s="56">
        <f>+'9'!B37</f>
        <v>0</v>
      </c>
      <c r="W164" s="56">
        <f>+'9'!C37</f>
        <v>0</v>
      </c>
      <c r="X164" s="56">
        <f>+'9'!D37</f>
        <v>0</v>
      </c>
      <c r="Y164" s="61">
        <f>+'9'!E37</f>
        <v>0</v>
      </c>
      <c r="AB164" s="56"/>
      <c r="AC164" s="62"/>
    </row>
    <row r="165" spans="6:29">
      <c r="F165" s="10">
        <f>+'17'!D1</f>
        <v>46159</v>
      </c>
      <c r="G165" s="11" t="str">
        <f>+'17'!A5</f>
        <v/>
      </c>
      <c r="H165" s="11">
        <f>+'17'!B5</f>
        <v>0</v>
      </c>
      <c r="I165" s="11">
        <f>+'17'!C5</f>
        <v>0</v>
      </c>
      <c r="J165" s="11">
        <f>+'17'!D5</f>
        <v>0</v>
      </c>
      <c r="K165" s="13">
        <f>+'17'!E5</f>
        <v>0</v>
      </c>
      <c r="M165" s="10">
        <f>+'14'!D1</f>
        <v>46156</v>
      </c>
      <c r="N165" s="11" t="str">
        <f>+'14'!A29</f>
        <v/>
      </c>
      <c r="O165" s="11">
        <f>+'14'!B29</f>
        <v>0</v>
      </c>
      <c r="P165" s="11">
        <f>+'14'!C29</f>
        <v>0</v>
      </c>
      <c r="Q165" s="11">
        <f>+'14'!D29</f>
        <v>0</v>
      </c>
      <c r="R165" s="13">
        <f>+'14'!E29</f>
        <v>0</v>
      </c>
      <c r="T165" s="10">
        <f>+'9'!D1</f>
        <v>46151</v>
      </c>
      <c r="U165" s="56" t="str">
        <f>+'9'!A38</f>
        <v/>
      </c>
      <c r="V165" s="56">
        <f>+'9'!B38</f>
        <v>0</v>
      </c>
      <c r="W165" s="56">
        <f>+'9'!C38</f>
        <v>0</v>
      </c>
      <c r="X165" s="56">
        <f>+'9'!D38</f>
        <v>0</v>
      </c>
      <c r="Y165" s="61">
        <f>+'9'!E38</f>
        <v>0</v>
      </c>
      <c r="AB165" s="56"/>
      <c r="AC165" s="62"/>
    </row>
    <row r="166" spans="6:29">
      <c r="F166" s="10">
        <f>+'17'!D1</f>
        <v>46159</v>
      </c>
      <c r="G166" s="11" t="str">
        <f>+'17'!A6</f>
        <v/>
      </c>
      <c r="H166" s="11">
        <f>+'17'!B6</f>
        <v>0</v>
      </c>
      <c r="I166" s="11">
        <f>+'17'!C6</f>
        <v>0</v>
      </c>
      <c r="J166" s="11">
        <f>+'17'!D6</f>
        <v>0</v>
      </c>
      <c r="K166" s="13">
        <f>+'17'!E6</f>
        <v>0</v>
      </c>
      <c r="M166" s="10">
        <f>+'14'!D1</f>
        <v>46156</v>
      </c>
      <c r="N166" s="11" t="str">
        <f>+'14'!A30</f>
        <v/>
      </c>
      <c r="O166" s="11">
        <f>+'14'!B30</f>
        <v>0</v>
      </c>
      <c r="P166" s="11">
        <f>+'14'!C30</f>
        <v>0</v>
      </c>
      <c r="Q166" s="11">
        <f>+'14'!D30</f>
        <v>0</v>
      </c>
      <c r="R166" s="13">
        <f>+'14'!E30</f>
        <v>0</v>
      </c>
      <c r="T166" s="10">
        <f>+'9'!D1</f>
        <v>46151</v>
      </c>
      <c r="U166" s="56" t="str">
        <f>+'9'!A39</f>
        <v/>
      </c>
      <c r="V166" s="56">
        <f>+'9'!B39</f>
        <v>0</v>
      </c>
      <c r="W166" s="56">
        <f>+'9'!C39</f>
        <v>0</v>
      </c>
      <c r="X166" s="56">
        <f>+'9'!D39</f>
        <v>0</v>
      </c>
      <c r="Y166" s="61">
        <f>+'9'!E39</f>
        <v>0</v>
      </c>
      <c r="AB166" s="56"/>
      <c r="AC166" s="62"/>
    </row>
    <row r="167" spans="6:29">
      <c r="F167" s="10">
        <f>+'17'!D1</f>
        <v>46159</v>
      </c>
      <c r="G167" s="11" t="str">
        <f>+'17'!A7</f>
        <v/>
      </c>
      <c r="H167" s="11">
        <f>+'17'!B7</f>
        <v>0</v>
      </c>
      <c r="I167" s="11">
        <f>+'17'!C7</f>
        <v>0</v>
      </c>
      <c r="J167" s="11">
        <f>+'17'!D7</f>
        <v>0</v>
      </c>
      <c r="K167" s="13">
        <f>+'17'!E7</f>
        <v>0</v>
      </c>
      <c r="M167" s="10">
        <f>+'14'!D1</f>
        <v>46156</v>
      </c>
      <c r="N167" s="11" t="str">
        <f>+'14'!A31</f>
        <v/>
      </c>
      <c r="O167" s="11">
        <f>+'14'!B31</f>
        <v>0</v>
      </c>
      <c r="P167" s="11">
        <f>+'14'!C31</f>
        <v>0</v>
      </c>
      <c r="Q167" s="11">
        <f>+'14'!D31</f>
        <v>0</v>
      </c>
      <c r="R167" s="13">
        <f>+'14'!E31</f>
        <v>0</v>
      </c>
      <c r="T167" s="10">
        <f>+'9'!D1</f>
        <v>46151</v>
      </c>
      <c r="U167" s="56" t="str">
        <f>+'9'!A40</f>
        <v/>
      </c>
      <c r="V167" s="56">
        <f>+'9'!B40</f>
        <v>0</v>
      </c>
      <c r="W167" s="56">
        <f>+'9'!C40</f>
        <v>0</v>
      </c>
      <c r="X167" s="56">
        <f>+'9'!D40</f>
        <v>0</v>
      </c>
      <c r="Y167" s="61">
        <f>+'9'!E40</f>
        <v>0</v>
      </c>
      <c r="AB167" s="56"/>
      <c r="AC167" s="62"/>
    </row>
    <row r="168" spans="6:29">
      <c r="F168" s="10">
        <f>+'17'!D1</f>
        <v>46159</v>
      </c>
      <c r="G168" s="11" t="str">
        <f>+'17'!A8</f>
        <v/>
      </c>
      <c r="H168" s="11">
        <f>+'17'!B8</f>
        <v>0</v>
      </c>
      <c r="I168" s="11">
        <f>+'17'!C8</f>
        <v>0</v>
      </c>
      <c r="J168" s="11">
        <f>+'17'!D8</f>
        <v>0</v>
      </c>
      <c r="K168" s="13">
        <f>+'17'!E8</f>
        <v>0</v>
      </c>
      <c r="M168" s="10">
        <f>+'14'!D1</f>
        <v>46156</v>
      </c>
      <c r="N168" s="11" t="str">
        <f>+'14'!A32</f>
        <v/>
      </c>
      <c r="O168" s="11">
        <f>+'14'!B32</f>
        <v>0</v>
      </c>
      <c r="P168" s="11">
        <f>+'14'!C32</f>
        <v>0</v>
      </c>
      <c r="Q168" s="11">
        <f>+'14'!D32</f>
        <v>0</v>
      </c>
      <c r="R168" s="13">
        <f>+'14'!E32</f>
        <v>0</v>
      </c>
      <c r="T168" s="10">
        <f>+'9'!D1</f>
        <v>46151</v>
      </c>
      <c r="U168" s="56" t="str">
        <f>+'9'!A41</f>
        <v/>
      </c>
      <c r="V168" s="56">
        <f>+'9'!B41</f>
        <v>0</v>
      </c>
      <c r="W168" s="56">
        <f>+'9'!C41</f>
        <v>0</v>
      </c>
      <c r="X168" s="56">
        <f>+'9'!D41</f>
        <v>0</v>
      </c>
      <c r="Y168" s="61">
        <f>+'9'!E41</f>
        <v>0</v>
      </c>
      <c r="AB168" s="56"/>
      <c r="AC168" s="62"/>
    </row>
    <row r="169" spans="6:29">
      <c r="F169" s="10">
        <f>+'17'!D1</f>
        <v>46159</v>
      </c>
      <c r="G169" s="11" t="str">
        <f>+'17'!A9</f>
        <v/>
      </c>
      <c r="H169" s="11">
        <f>+'17'!B9</f>
        <v>0</v>
      </c>
      <c r="I169" s="11">
        <f>+'17'!C9</f>
        <v>0</v>
      </c>
      <c r="J169" s="11" t="str">
        <f>+'17'!D9</f>
        <v> </v>
      </c>
      <c r="K169" s="13">
        <f>+'17'!E9</f>
        <v>0</v>
      </c>
      <c r="M169" s="10">
        <f>+'14'!D1</f>
        <v>46156</v>
      </c>
      <c r="N169" s="11" t="str">
        <f>+'14'!A33</f>
        <v/>
      </c>
      <c r="O169" s="11">
        <f>+'14'!B33</f>
        <v>0</v>
      </c>
      <c r="P169" s="11">
        <f>+'14'!C33</f>
        <v>0</v>
      </c>
      <c r="Q169" s="11">
        <f>+'14'!D33</f>
        <v>0</v>
      </c>
      <c r="R169" s="13">
        <f>+'14'!E33</f>
        <v>0</v>
      </c>
      <c r="T169" s="10">
        <f>+'9'!D1</f>
        <v>46151</v>
      </c>
      <c r="U169" s="56" t="str">
        <f>+'9'!A42</f>
        <v/>
      </c>
      <c r="V169" s="56">
        <f>+'9'!B42</f>
        <v>0</v>
      </c>
      <c r="W169" s="56">
        <f>+'9'!C42</f>
        <v>0</v>
      </c>
      <c r="X169" s="56">
        <f>+'9'!D42</f>
        <v>0</v>
      </c>
      <c r="Y169" s="61">
        <f>+'9'!E42</f>
        <v>0</v>
      </c>
      <c r="AB169" s="56"/>
      <c r="AC169" s="62"/>
    </row>
    <row r="170" spans="6:29">
      <c r="F170" s="10">
        <f>+'17'!D1</f>
        <v>46159</v>
      </c>
      <c r="G170" s="11" t="str">
        <f>+'17'!A10</f>
        <v/>
      </c>
      <c r="H170" s="11">
        <f>+'17'!B10</f>
        <v>0</v>
      </c>
      <c r="I170" s="11">
        <f>+'17'!C10</f>
        <v>0</v>
      </c>
      <c r="J170" s="11">
        <f>+'17'!D10</f>
        <v>0</v>
      </c>
      <c r="K170" s="13">
        <f>+'17'!E10</f>
        <v>0</v>
      </c>
      <c r="M170" s="10">
        <f>+'14'!D1</f>
        <v>46156</v>
      </c>
      <c r="N170" s="11" t="str">
        <f>+'14'!A34</f>
        <v/>
      </c>
      <c r="O170" s="11">
        <f>+'14'!B34</f>
        <v>0</v>
      </c>
      <c r="P170" s="11">
        <f>+'14'!C34</f>
        <v>0</v>
      </c>
      <c r="Q170" s="11">
        <f>+'14'!D34</f>
        <v>0</v>
      </c>
      <c r="R170" s="13">
        <f>+'14'!E34</f>
        <v>0</v>
      </c>
      <c r="T170" s="10">
        <f>+'9'!D1</f>
        <v>46151</v>
      </c>
      <c r="U170" s="56" t="str">
        <f>+'9'!A43</f>
        <v/>
      </c>
      <c r="V170" s="56">
        <f>+'9'!B43</f>
        <v>0</v>
      </c>
      <c r="W170" s="56">
        <f>+'9'!C43</f>
        <v>0</v>
      </c>
      <c r="X170" s="56">
        <f>+'9'!D43</f>
        <v>0</v>
      </c>
      <c r="Y170" s="61">
        <f>+'9'!E43</f>
        <v>0</v>
      </c>
      <c r="AB170" s="56"/>
      <c r="AC170" s="62"/>
    </row>
    <row r="171" spans="6:29">
      <c r="F171" s="10">
        <f>+'17'!D1</f>
        <v>46159</v>
      </c>
      <c r="G171" s="11" t="str">
        <f>+'17'!A11</f>
        <v/>
      </c>
      <c r="H171" s="11">
        <f>+'17'!B11</f>
        <v>0</v>
      </c>
      <c r="I171" s="11">
        <f>+'17'!C11</f>
        <v>0</v>
      </c>
      <c r="J171" s="11">
        <f>+'17'!D11</f>
        <v>0</v>
      </c>
      <c r="K171" s="13">
        <f>+'17'!E11</f>
        <v>0</v>
      </c>
      <c r="M171" s="10">
        <f>+'15'!D1</f>
        <v>46157</v>
      </c>
      <c r="N171" s="11" t="str">
        <f>+'15'!A23</f>
        <v/>
      </c>
      <c r="O171" s="11">
        <f>+'15'!B23</f>
        <v>0</v>
      </c>
      <c r="P171" s="11">
        <f>+'15'!C23</f>
        <v>0</v>
      </c>
      <c r="Q171" s="11">
        <f>+'15'!D23</f>
        <v>0</v>
      </c>
      <c r="R171" s="13">
        <f>+'15'!E23</f>
        <v>0</v>
      </c>
      <c r="T171" s="10">
        <f>+'9'!D1</f>
        <v>46151</v>
      </c>
      <c r="U171" s="56" t="str">
        <f>+'9'!A44</f>
        <v/>
      </c>
      <c r="V171" s="56">
        <f>+'9'!B44</f>
        <v>0</v>
      </c>
      <c r="W171" s="56">
        <f>+'9'!C44</f>
        <v>0</v>
      </c>
      <c r="X171" s="56">
        <f>+'9'!D44</f>
        <v>0</v>
      </c>
      <c r="Y171" s="61">
        <f>+'9'!E44</f>
        <v>0</v>
      </c>
      <c r="AB171" s="56"/>
      <c r="AC171" s="62"/>
    </row>
    <row r="172" spans="6:29">
      <c r="F172" s="10">
        <f>+'17'!D1</f>
        <v>46159</v>
      </c>
      <c r="G172" s="11" t="str">
        <f>+'17'!A12</f>
        <v/>
      </c>
      <c r="H172" s="11">
        <f>+'17'!B12</f>
        <v>0</v>
      </c>
      <c r="I172" s="11">
        <f>+'17'!C12</f>
        <v>0</v>
      </c>
      <c r="J172" s="11">
        <f>+'17'!D12</f>
        <v>0</v>
      </c>
      <c r="K172" s="13">
        <f>+'17'!E12</f>
        <v>0</v>
      </c>
      <c r="M172" s="10">
        <f>+'15'!D1</f>
        <v>46157</v>
      </c>
      <c r="N172" s="11" t="str">
        <f>+'15'!A24</f>
        <v/>
      </c>
      <c r="O172" s="11">
        <f>+'15'!B24</f>
        <v>0</v>
      </c>
      <c r="P172" s="11">
        <f>+'15'!C24</f>
        <v>0</v>
      </c>
      <c r="Q172" s="11">
        <f>+'15'!D24</f>
        <v>0</v>
      </c>
      <c r="R172" s="13">
        <f>+'15'!E24</f>
        <v>0</v>
      </c>
      <c r="T172" s="10">
        <f>+'9'!D1</f>
        <v>46151</v>
      </c>
      <c r="U172" s="56" t="str">
        <f>+'9'!A45</f>
        <v/>
      </c>
      <c r="V172" s="56">
        <f>+'9'!B45</f>
        <v>0</v>
      </c>
      <c r="W172" s="56">
        <f>+'9'!C45</f>
        <v>0</v>
      </c>
      <c r="X172" s="56">
        <f>+'9'!D45</f>
        <v>0</v>
      </c>
      <c r="Y172" s="61">
        <f>+'9'!E45</f>
        <v>0</v>
      </c>
      <c r="AB172" s="56"/>
      <c r="AC172" s="62"/>
    </row>
    <row r="173" spans="6:29">
      <c r="F173" s="10">
        <f>+'18'!D1</f>
        <v>46160</v>
      </c>
      <c r="G173" s="11" t="str">
        <f>+'18'!A3</f>
        <v/>
      </c>
      <c r="H173" s="11">
        <f>+'18'!B3</f>
        <v>0</v>
      </c>
      <c r="I173" s="11">
        <f>+'18'!C3</f>
        <v>0</v>
      </c>
      <c r="J173" s="11">
        <f>+'18'!D3</f>
        <v>0</v>
      </c>
      <c r="K173" s="13">
        <f>+'18'!E3</f>
        <v>0</v>
      </c>
      <c r="M173" s="10">
        <f>+'15'!D1</f>
        <v>46157</v>
      </c>
      <c r="N173" s="11" t="str">
        <f>+'15'!A25</f>
        <v/>
      </c>
      <c r="O173" s="11">
        <f>+'15'!B25</f>
        <v>0</v>
      </c>
      <c r="P173" s="11">
        <f>+'15'!C25</f>
        <v>0</v>
      </c>
      <c r="Q173" s="11">
        <f>+'15'!D25</f>
        <v>0</v>
      </c>
      <c r="R173" s="13">
        <f>+'15'!E25</f>
        <v>0</v>
      </c>
      <c r="T173" s="10">
        <f>+'9'!D1</f>
        <v>46151</v>
      </c>
      <c r="U173" s="56" t="str">
        <f>+'9'!A46</f>
        <v/>
      </c>
      <c r="V173" s="56">
        <f>+'9'!B46</f>
        <v>0</v>
      </c>
      <c r="W173" s="56">
        <f>+'9'!C46</f>
        <v>0</v>
      </c>
      <c r="X173" s="56">
        <f>+'9'!D46</f>
        <v>0</v>
      </c>
      <c r="Y173" s="61">
        <f>+'9'!E46</f>
        <v>0</v>
      </c>
      <c r="AB173" s="56"/>
      <c r="AC173" s="62"/>
    </row>
    <row r="174" spans="6:29">
      <c r="F174" s="10">
        <f>+'18'!D1</f>
        <v>46160</v>
      </c>
      <c r="G174" s="11" t="str">
        <f>+'18'!A4</f>
        <v/>
      </c>
      <c r="H174" s="11">
        <f>+'18'!B4</f>
        <v>0</v>
      </c>
      <c r="I174" s="11">
        <f>+'18'!C4</f>
        <v>0</v>
      </c>
      <c r="J174" s="11">
        <f>+'18'!D4</f>
        <v>0</v>
      </c>
      <c r="K174" s="13">
        <f>+'18'!E4</f>
        <v>0</v>
      </c>
      <c r="M174" s="10">
        <f>+'15'!D1</f>
        <v>46157</v>
      </c>
      <c r="N174" s="11" t="str">
        <f>+'15'!A26</f>
        <v/>
      </c>
      <c r="O174" s="11">
        <f>+'15'!B26</f>
        <v>0</v>
      </c>
      <c r="P174" s="11">
        <f>+'15'!C26</f>
        <v>0</v>
      </c>
      <c r="Q174" s="11">
        <f>+'15'!D26</f>
        <v>0</v>
      </c>
      <c r="R174" s="13">
        <f>+'15'!E26</f>
        <v>0</v>
      </c>
      <c r="T174" s="10">
        <f>+'9'!D1</f>
        <v>46151</v>
      </c>
      <c r="U174" s="56" t="str">
        <f>+'9'!A47</f>
        <v/>
      </c>
      <c r="V174" s="56">
        <f>+'9'!B47</f>
        <v>0</v>
      </c>
      <c r="W174" s="56">
        <f>+'9'!C47</f>
        <v>0</v>
      </c>
      <c r="X174" s="56">
        <f>+'9'!D47</f>
        <v>0</v>
      </c>
      <c r="Y174" s="61">
        <f>+'9'!E47</f>
        <v>0</v>
      </c>
      <c r="AB174" s="56"/>
      <c r="AC174" s="62"/>
    </row>
    <row r="175" spans="6:29">
      <c r="F175" s="10">
        <f>+'18'!D1</f>
        <v>46160</v>
      </c>
      <c r="G175" s="11" t="str">
        <f>+'18'!A5</f>
        <v/>
      </c>
      <c r="H175" s="11">
        <f>+'18'!B5</f>
        <v>0</v>
      </c>
      <c r="I175" s="11">
        <f>+'18'!C5</f>
        <v>0</v>
      </c>
      <c r="J175" s="11">
        <f>+'18'!D5</f>
        <v>0</v>
      </c>
      <c r="K175" s="13">
        <f>+'18'!E5</f>
        <v>0</v>
      </c>
      <c r="M175" s="10">
        <f>+'15'!D1</f>
        <v>46157</v>
      </c>
      <c r="N175" s="11" t="str">
        <f>+'15'!A27</f>
        <v/>
      </c>
      <c r="O175" s="11">
        <f>+'15'!B27</f>
        <v>0</v>
      </c>
      <c r="P175" s="11">
        <f>+'15'!C27</f>
        <v>0</v>
      </c>
      <c r="Q175" s="11">
        <f>+'15'!D27</f>
        <v>0</v>
      </c>
      <c r="R175" s="13">
        <f>+'15'!E27</f>
        <v>0</v>
      </c>
      <c r="T175" s="10">
        <f>+'9'!D1</f>
        <v>46151</v>
      </c>
      <c r="U175" s="56" t="str">
        <f>+'9'!A48</f>
        <v/>
      </c>
      <c r="V175" s="56">
        <f>+'9'!B48</f>
        <v>0</v>
      </c>
      <c r="W175" s="56">
        <f>+'9'!C48</f>
        <v>0</v>
      </c>
      <c r="X175" s="56">
        <f>+'9'!D48</f>
        <v>0</v>
      </c>
      <c r="Y175" s="61">
        <f>+'9'!E48</f>
        <v>0</v>
      </c>
      <c r="AB175" s="56"/>
      <c r="AC175" s="62"/>
    </row>
    <row r="176" spans="6:29">
      <c r="F176" s="10">
        <f>+'18'!D1</f>
        <v>46160</v>
      </c>
      <c r="G176" s="11" t="str">
        <f>+'18'!A6</f>
        <v/>
      </c>
      <c r="H176" s="11">
        <f>+'18'!B6</f>
        <v>0</v>
      </c>
      <c r="I176" s="11">
        <f>+'18'!C6</f>
        <v>0</v>
      </c>
      <c r="J176" s="11">
        <f>+'18'!D6</f>
        <v>0</v>
      </c>
      <c r="K176" s="13">
        <f>+'18'!E6</f>
        <v>0</v>
      </c>
      <c r="M176" s="10">
        <f>+'15'!D1</f>
        <v>46157</v>
      </c>
      <c r="N176" s="11" t="str">
        <f>+'15'!A28</f>
        <v/>
      </c>
      <c r="O176" s="11">
        <f>+'15'!B28</f>
        <v>0</v>
      </c>
      <c r="P176" s="11">
        <f>+'15'!C28</f>
        <v>0</v>
      </c>
      <c r="Q176" s="11">
        <f>+'15'!D28</f>
        <v>0</v>
      </c>
      <c r="R176" s="13">
        <f>+'15'!E28</f>
        <v>0</v>
      </c>
      <c r="T176" s="10">
        <f>+'9'!D1</f>
        <v>46151</v>
      </c>
      <c r="U176" s="56" t="str">
        <f>+'9'!A49</f>
        <v/>
      </c>
      <c r="V176" s="56">
        <f>+'9'!B49</f>
        <v>0</v>
      </c>
      <c r="W176" s="56">
        <f>+'9'!C49</f>
        <v>0</v>
      </c>
      <c r="X176" s="56">
        <f>+'9'!D49</f>
        <v>0</v>
      </c>
      <c r="Y176" s="61">
        <f>+'9'!E49</f>
        <v>0</v>
      </c>
      <c r="AB176" s="56"/>
      <c r="AC176" s="62"/>
    </row>
    <row r="177" spans="6:29">
      <c r="F177" s="10">
        <f>+'18'!D1</f>
        <v>46160</v>
      </c>
      <c r="G177" s="11" t="str">
        <f>+'18'!A7</f>
        <v/>
      </c>
      <c r="H177" s="11">
        <f>+'18'!B7</f>
        <v>0</v>
      </c>
      <c r="I177" s="11">
        <f>+'18'!C7</f>
        <v>0</v>
      </c>
      <c r="J177" s="11">
        <f>+'18'!D7</f>
        <v>0</v>
      </c>
      <c r="K177" s="13">
        <f>+'18'!E7</f>
        <v>0</v>
      </c>
      <c r="M177" s="10">
        <f>+'15'!D1</f>
        <v>46157</v>
      </c>
      <c r="N177" s="11" t="str">
        <f>+'15'!A29</f>
        <v/>
      </c>
      <c r="O177" s="11">
        <f>+'15'!B29</f>
        <v>0</v>
      </c>
      <c r="P177" s="11">
        <f>+'15'!C29</f>
        <v>0</v>
      </c>
      <c r="Q177" s="11">
        <f>+'15'!D29</f>
        <v>0</v>
      </c>
      <c r="R177" s="13">
        <f>+'15'!E29</f>
        <v>0</v>
      </c>
      <c r="T177" s="10">
        <f>+'9'!D1</f>
        <v>46151</v>
      </c>
      <c r="U177" s="56" t="str">
        <f>+'9'!A50</f>
        <v/>
      </c>
      <c r="V177" s="56">
        <f>+'9'!B50</f>
        <v>0</v>
      </c>
      <c r="W177" s="56">
        <f>+'9'!C50</f>
        <v>0</v>
      </c>
      <c r="X177" s="56">
        <f>+'9'!D50</f>
        <v>0</v>
      </c>
      <c r="Y177" s="61">
        <f>+'9'!E50</f>
        <v>0</v>
      </c>
      <c r="AB177" s="56"/>
      <c r="AC177" s="62"/>
    </row>
    <row r="178" spans="6:29">
      <c r="F178" s="10">
        <f>+'18'!D1</f>
        <v>46160</v>
      </c>
      <c r="G178" s="11" t="str">
        <f>+'18'!A8</f>
        <v/>
      </c>
      <c r="H178" s="11">
        <f>+'18'!B8</f>
        <v>0</v>
      </c>
      <c r="I178" s="11">
        <f>+'18'!C8</f>
        <v>0</v>
      </c>
      <c r="J178" s="11">
        <f>+'18'!D8</f>
        <v>0</v>
      </c>
      <c r="K178" s="13">
        <f>+'18'!E8</f>
        <v>0</v>
      </c>
      <c r="M178" s="10">
        <f>+'15'!D1</f>
        <v>46157</v>
      </c>
      <c r="N178" s="11" t="str">
        <f>+'15'!A30</f>
        <v/>
      </c>
      <c r="O178" s="11">
        <f>+'15'!B30</f>
        <v>0</v>
      </c>
      <c r="P178" s="11">
        <f>+'15'!C30</f>
        <v>0</v>
      </c>
      <c r="Q178" s="11">
        <f>+'15'!D30</f>
        <v>0</v>
      </c>
      <c r="R178" s="13">
        <f>+'15'!E30</f>
        <v>0</v>
      </c>
      <c r="T178" s="10">
        <f>+'9'!D1</f>
        <v>46151</v>
      </c>
      <c r="U178" s="56" t="str">
        <f>+'9'!A51</f>
        <v/>
      </c>
      <c r="V178" s="56">
        <f>+'9'!B51</f>
        <v>0</v>
      </c>
      <c r="W178" s="56">
        <f>+'9'!C51</f>
        <v>0</v>
      </c>
      <c r="X178" s="56">
        <f>+'9'!D51</f>
        <v>0</v>
      </c>
      <c r="Y178" s="61">
        <f>+'9'!E51</f>
        <v>0</v>
      </c>
      <c r="AB178" s="56"/>
      <c r="AC178" s="62"/>
    </row>
    <row r="179" spans="6:29">
      <c r="F179" s="10">
        <f>+'18'!D1</f>
        <v>46160</v>
      </c>
      <c r="G179" s="11" t="str">
        <f>+'18'!A9</f>
        <v/>
      </c>
      <c r="H179" s="11">
        <f>+'18'!B9</f>
        <v>0</v>
      </c>
      <c r="I179" s="11">
        <f>+'18'!C9</f>
        <v>0</v>
      </c>
      <c r="J179" s="11" t="str">
        <f>+'18'!D9</f>
        <v> </v>
      </c>
      <c r="K179" s="13">
        <f>+'18'!E9</f>
        <v>0</v>
      </c>
      <c r="M179" s="10">
        <f>+'15'!D1</f>
        <v>46157</v>
      </c>
      <c r="N179" s="11" t="str">
        <f>+'15'!A31</f>
        <v/>
      </c>
      <c r="O179" s="11">
        <f>+'15'!B31</f>
        <v>0</v>
      </c>
      <c r="P179" s="11">
        <f>+'15'!C31</f>
        <v>0</v>
      </c>
      <c r="Q179" s="11">
        <f>+'15'!D31</f>
        <v>0</v>
      </c>
      <c r="R179" s="13">
        <f>+'15'!E31</f>
        <v>0</v>
      </c>
      <c r="T179" s="10">
        <f>+'9'!D1</f>
        <v>46151</v>
      </c>
      <c r="U179" s="56" t="str">
        <f>+'9'!A52</f>
        <v/>
      </c>
      <c r="V179" s="56">
        <f>+'9'!B52</f>
        <v>0</v>
      </c>
      <c r="W179" s="56">
        <f>+'9'!C52</f>
        <v>0</v>
      </c>
      <c r="X179" s="56">
        <f>+'9'!D52</f>
        <v>0</v>
      </c>
      <c r="Y179" s="61">
        <f>+'9'!E52</f>
        <v>0</v>
      </c>
      <c r="AB179" s="56"/>
      <c r="AC179" s="62"/>
    </row>
    <row r="180" spans="6:29">
      <c r="F180" s="10">
        <f>+'18'!D1</f>
        <v>46160</v>
      </c>
      <c r="G180" s="11" t="str">
        <f>+'18'!A10</f>
        <v/>
      </c>
      <c r="H180" s="11">
        <f>+'18'!B10</f>
        <v>0</v>
      </c>
      <c r="I180" s="11">
        <f>+'18'!C10</f>
        <v>0</v>
      </c>
      <c r="J180" s="11">
        <f>+'18'!D10</f>
        <v>0</v>
      </c>
      <c r="K180" s="13">
        <f>+'18'!E10</f>
        <v>0</v>
      </c>
      <c r="M180" s="10">
        <f>+'15'!D1</f>
        <v>46157</v>
      </c>
      <c r="N180" s="11" t="str">
        <f>+'15'!A32</f>
        <v/>
      </c>
      <c r="O180" s="11">
        <f>+'15'!B32</f>
        <v>0</v>
      </c>
      <c r="P180" s="11">
        <f>+'15'!C32</f>
        <v>0</v>
      </c>
      <c r="Q180" s="11">
        <f>+'15'!D32</f>
        <v>0</v>
      </c>
      <c r="R180" s="13">
        <f>+'15'!E32</f>
        <v>0</v>
      </c>
      <c r="T180" s="10">
        <f>+'9'!D1</f>
        <v>46151</v>
      </c>
      <c r="U180" s="56" t="str">
        <f>+'9'!A53</f>
        <v/>
      </c>
      <c r="V180" s="56">
        <f>+'9'!B53</f>
        <v>0</v>
      </c>
      <c r="W180" s="56">
        <f>+'9'!C53</f>
        <v>0</v>
      </c>
      <c r="X180" s="56">
        <f>+'9'!D53</f>
        <v>0</v>
      </c>
      <c r="Y180" s="61">
        <f>+'9'!E53</f>
        <v>0</v>
      </c>
      <c r="AB180" s="56"/>
      <c r="AC180" s="62"/>
    </row>
    <row r="181" spans="6:29">
      <c r="F181" s="10">
        <f>+'18'!D1</f>
        <v>46160</v>
      </c>
      <c r="G181" s="11" t="str">
        <f>+'18'!A11</f>
        <v/>
      </c>
      <c r="H181" s="11">
        <f>+'18'!B11</f>
        <v>0</v>
      </c>
      <c r="I181" s="11">
        <f>+'18'!C11</f>
        <v>0</v>
      </c>
      <c r="J181" s="11">
        <f>+'18'!D11</f>
        <v>0</v>
      </c>
      <c r="K181" s="13">
        <f>+'18'!E11</f>
        <v>0</v>
      </c>
      <c r="M181" s="10">
        <f>+'15'!D1</f>
        <v>46157</v>
      </c>
      <c r="N181" s="11" t="str">
        <f>+'15'!A33</f>
        <v/>
      </c>
      <c r="O181" s="11">
        <f>+'15'!B33</f>
        <v>0</v>
      </c>
      <c r="P181" s="11">
        <f>+'15'!C33</f>
        <v>0</v>
      </c>
      <c r="Q181" s="11">
        <f>+'15'!D33</f>
        <v>0</v>
      </c>
      <c r="R181" s="13">
        <f>+'15'!E33</f>
        <v>0</v>
      </c>
      <c r="T181" s="10">
        <f>+'9'!D1</f>
        <v>46151</v>
      </c>
      <c r="U181" s="56" t="str">
        <f>+'9'!A54</f>
        <v/>
      </c>
      <c r="V181" s="56">
        <f>+'9'!B54</f>
        <v>0</v>
      </c>
      <c r="W181" s="56">
        <f>+'9'!C54</f>
        <v>0</v>
      </c>
      <c r="X181" s="56">
        <f>+'9'!D54</f>
        <v>0</v>
      </c>
      <c r="Y181" s="61">
        <f>+'9'!E54</f>
        <v>0</v>
      </c>
      <c r="AB181" s="56"/>
      <c r="AC181" s="62"/>
    </row>
    <row r="182" spans="6:29">
      <c r="F182" s="10">
        <f>+'18'!D1</f>
        <v>46160</v>
      </c>
      <c r="G182" s="11" t="str">
        <f>+'18'!A12</f>
        <v/>
      </c>
      <c r="H182" s="11">
        <f>+'18'!B12</f>
        <v>0</v>
      </c>
      <c r="I182" s="11">
        <f>+'18'!C12</f>
        <v>0</v>
      </c>
      <c r="J182" s="11">
        <f>+'18'!D12</f>
        <v>0</v>
      </c>
      <c r="K182" s="13">
        <f>+'18'!E12</f>
        <v>0</v>
      </c>
      <c r="M182" s="10">
        <f>+'15'!D1</f>
        <v>46157</v>
      </c>
      <c r="N182" s="11" t="str">
        <f>+'15'!A34</f>
        <v/>
      </c>
      <c r="O182" s="11">
        <f>+'15'!B34</f>
        <v>0</v>
      </c>
      <c r="P182" s="11">
        <f>+'15'!C34</f>
        <v>0</v>
      </c>
      <c r="Q182" s="11">
        <f>+'15'!D34</f>
        <v>0</v>
      </c>
      <c r="R182" s="13">
        <f>+'15'!E34</f>
        <v>0</v>
      </c>
      <c r="T182" s="10">
        <f>+'9'!D1</f>
        <v>46151</v>
      </c>
      <c r="U182" s="56" t="str">
        <f>+'9'!A55</f>
        <v/>
      </c>
      <c r="V182" s="56">
        <f>+'9'!B55</f>
        <v>0</v>
      </c>
      <c r="W182" s="56">
        <f>+'9'!C55</f>
        <v>0</v>
      </c>
      <c r="X182" s="56">
        <f>+'9'!D55</f>
        <v>0</v>
      </c>
      <c r="Y182" s="61">
        <f>+'9'!E55</f>
        <v>0</v>
      </c>
      <c r="AB182" s="56"/>
      <c r="AC182" s="62"/>
    </row>
    <row r="183" spans="6:29">
      <c r="F183" s="10">
        <f>+'19'!D1</f>
        <v>46161</v>
      </c>
      <c r="G183" s="11" t="str">
        <f>+'19'!A3</f>
        <v/>
      </c>
      <c r="H183" s="11">
        <f>+'19'!B3</f>
        <v>0</v>
      </c>
      <c r="I183" s="11">
        <f>+'19'!C3</f>
        <v>0</v>
      </c>
      <c r="J183" s="11">
        <f>+'19'!D3</f>
        <v>0</v>
      </c>
      <c r="K183" s="13">
        <f>+'19'!E3</f>
        <v>0</v>
      </c>
      <c r="M183" s="10">
        <f>+'16'!D1</f>
        <v>46158</v>
      </c>
      <c r="N183" s="11" t="str">
        <f>+'16'!A23</f>
        <v/>
      </c>
      <c r="O183" s="11">
        <f>+'16'!B23</f>
        <v>0</v>
      </c>
      <c r="P183" s="11">
        <f>+'16'!C23</f>
        <v>0</v>
      </c>
      <c r="Q183" s="11">
        <f>+'16'!D23</f>
        <v>0</v>
      </c>
      <c r="R183" s="13">
        <f>+'16'!E23</f>
        <v>0</v>
      </c>
      <c r="T183" s="10">
        <f>+'10'!D1</f>
        <v>46152</v>
      </c>
      <c r="U183" s="56" t="str">
        <f>+'10'!A36</f>
        <v/>
      </c>
      <c r="V183" s="56">
        <f>+'10'!B36</f>
        <v>0</v>
      </c>
      <c r="W183" s="56">
        <f>+'10'!C36</f>
        <v>0</v>
      </c>
      <c r="X183" s="56">
        <f>+'10'!D36</f>
        <v>0</v>
      </c>
      <c r="Y183" s="61">
        <f>+'10'!E36</f>
        <v>0</v>
      </c>
      <c r="AB183" s="56"/>
      <c r="AC183" s="62"/>
    </row>
    <row r="184" spans="6:29">
      <c r="F184" s="10">
        <f>+'19'!D1</f>
        <v>46161</v>
      </c>
      <c r="G184" s="11" t="str">
        <f>+'19'!A4</f>
        <v/>
      </c>
      <c r="H184" s="11">
        <f>+'19'!B4</f>
        <v>0</v>
      </c>
      <c r="I184" s="11">
        <f>+'19'!C4</f>
        <v>0</v>
      </c>
      <c r="J184" s="11">
        <f>+'19'!D4</f>
        <v>0</v>
      </c>
      <c r="K184" s="13">
        <f>+'19'!E4</f>
        <v>0</v>
      </c>
      <c r="M184" s="10">
        <f>+'16'!D1</f>
        <v>46158</v>
      </c>
      <c r="N184" s="11" t="str">
        <f>+'16'!A24</f>
        <v/>
      </c>
      <c r="O184" s="11">
        <f>+'16'!B24</f>
        <v>0</v>
      </c>
      <c r="P184" s="11">
        <f>+'16'!C24</f>
        <v>0</v>
      </c>
      <c r="Q184" s="11">
        <f>+'16'!D24</f>
        <v>0</v>
      </c>
      <c r="R184" s="13">
        <f>+'16'!E24</f>
        <v>0</v>
      </c>
      <c r="T184" s="10">
        <f>+'10'!D1</f>
        <v>46152</v>
      </c>
      <c r="U184" s="56" t="str">
        <f>+'10'!A37</f>
        <v/>
      </c>
      <c r="V184" s="56">
        <f>+'10'!B37</f>
        <v>0</v>
      </c>
      <c r="W184" s="56">
        <f>+'10'!C37</f>
        <v>0</v>
      </c>
      <c r="X184" s="56">
        <f>+'10'!D37</f>
        <v>0</v>
      </c>
      <c r="Y184" s="61">
        <f>+'10'!E37</f>
        <v>0</v>
      </c>
      <c r="AB184" s="56"/>
      <c r="AC184" s="62"/>
    </row>
    <row r="185" spans="6:29">
      <c r="F185" s="10">
        <f>+'19'!D1</f>
        <v>46161</v>
      </c>
      <c r="G185" s="11" t="str">
        <f>+'19'!A5</f>
        <v/>
      </c>
      <c r="H185" s="11">
        <f>+'19'!B5</f>
        <v>0</v>
      </c>
      <c r="I185" s="11">
        <f>+'19'!C5</f>
        <v>0</v>
      </c>
      <c r="J185" s="11">
        <f>+'19'!D5</f>
        <v>0</v>
      </c>
      <c r="K185" s="13">
        <f>+'19'!E5</f>
        <v>0</v>
      </c>
      <c r="M185" s="10">
        <f>+'16'!D1</f>
        <v>46158</v>
      </c>
      <c r="N185" s="11" t="str">
        <f>+'16'!A25</f>
        <v/>
      </c>
      <c r="O185" s="11">
        <f>+'16'!B25</f>
        <v>0</v>
      </c>
      <c r="P185" s="11">
        <f>+'16'!C25</f>
        <v>0</v>
      </c>
      <c r="Q185" s="11">
        <f>+'16'!D25</f>
        <v>0</v>
      </c>
      <c r="R185" s="13">
        <f>+'16'!E25</f>
        <v>0</v>
      </c>
      <c r="T185" s="10">
        <f>+'10'!D1</f>
        <v>46152</v>
      </c>
      <c r="U185" s="56" t="str">
        <f>+'10'!A38</f>
        <v/>
      </c>
      <c r="V185" s="56">
        <f>+'10'!B38</f>
        <v>0</v>
      </c>
      <c r="W185" s="56">
        <f>+'10'!C38</f>
        <v>0</v>
      </c>
      <c r="X185" s="56">
        <f>+'10'!D38</f>
        <v>0</v>
      </c>
      <c r="Y185" s="61">
        <f>+'10'!E38</f>
        <v>0</v>
      </c>
      <c r="AB185" s="56"/>
      <c r="AC185" s="62"/>
    </row>
    <row r="186" spans="6:29">
      <c r="F186" s="10">
        <f>+'19'!D1</f>
        <v>46161</v>
      </c>
      <c r="G186" s="11" t="str">
        <f>+'19'!A6</f>
        <v/>
      </c>
      <c r="H186" s="11">
        <f>+'19'!B6</f>
        <v>0</v>
      </c>
      <c r="I186" s="11">
        <f>+'19'!C6</f>
        <v>0</v>
      </c>
      <c r="J186" s="11">
        <f>+'19'!D6</f>
        <v>0</v>
      </c>
      <c r="K186" s="13">
        <f>+'19'!E6</f>
        <v>0</v>
      </c>
      <c r="M186" s="10">
        <f>+'16'!D1</f>
        <v>46158</v>
      </c>
      <c r="N186" s="11" t="str">
        <f>+'16'!A26</f>
        <v/>
      </c>
      <c r="O186" s="11">
        <f>+'16'!B26</f>
        <v>0</v>
      </c>
      <c r="P186" s="11">
        <f>+'16'!C26</f>
        <v>0</v>
      </c>
      <c r="Q186" s="11">
        <f>+'16'!D26</f>
        <v>0</v>
      </c>
      <c r="R186" s="13">
        <f>+'16'!E26</f>
        <v>0</v>
      </c>
      <c r="T186" s="10">
        <f>+'10'!D1</f>
        <v>46152</v>
      </c>
      <c r="U186" s="56" t="str">
        <f>+'10'!A39</f>
        <v/>
      </c>
      <c r="V186" s="56">
        <f>+'10'!B39</f>
        <v>0</v>
      </c>
      <c r="W186" s="56">
        <f>+'10'!C39</f>
        <v>0</v>
      </c>
      <c r="X186" s="56">
        <f>+'10'!D39</f>
        <v>0</v>
      </c>
      <c r="Y186" s="61">
        <f>+'10'!E39</f>
        <v>0</v>
      </c>
      <c r="AB186" s="56"/>
      <c r="AC186" s="62"/>
    </row>
    <row r="187" spans="6:29">
      <c r="F187" s="10">
        <f>+'19'!D1</f>
        <v>46161</v>
      </c>
      <c r="G187" s="11" t="str">
        <f>+'19'!A7</f>
        <v/>
      </c>
      <c r="H187" s="11">
        <f>+'19'!B7</f>
        <v>0</v>
      </c>
      <c r="I187" s="11">
        <f>+'19'!C7</f>
        <v>0</v>
      </c>
      <c r="J187" s="11">
        <f>+'19'!D7</f>
        <v>0</v>
      </c>
      <c r="K187" s="13">
        <f>+'19'!E7</f>
        <v>0</v>
      </c>
      <c r="M187" s="10">
        <f>+'16'!D1</f>
        <v>46158</v>
      </c>
      <c r="N187" s="11" t="str">
        <f>+'16'!A27</f>
        <v/>
      </c>
      <c r="O187" s="11">
        <f>+'16'!B27</f>
        <v>0</v>
      </c>
      <c r="P187" s="11">
        <f>+'16'!C27</f>
        <v>0</v>
      </c>
      <c r="Q187" s="11">
        <f>+'16'!D27</f>
        <v>0</v>
      </c>
      <c r="R187" s="13">
        <f>+'16'!E27</f>
        <v>0</v>
      </c>
      <c r="T187" s="10">
        <f>+'10'!D1</f>
        <v>46152</v>
      </c>
      <c r="U187" s="56" t="str">
        <f>+'10'!A40</f>
        <v/>
      </c>
      <c r="V187" s="56">
        <f>+'10'!B40</f>
        <v>0</v>
      </c>
      <c r="W187" s="56">
        <f>+'10'!C40</f>
        <v>0</v>
      </c>
      <c r="X187" s="56">
        <f>+'10'!D40</f>
        <v>0</v>
      </c>
      <c r="Y187" s="61">
        <f>+'10'!E40</f>
        <v>0</v>
      </c>
      <c r="AB187" s="56"/>
      <c r="AC187" s="62"/>
    </row>
    <row r="188" spans="6:29">
      <c r="F188" s="10">
        <f>+'19'!D1</f>
        <v>46161</v>
      </c>
      <c r="G188" s="11" t="str">
        <f>+'19'!A8</f>
        <v/>
      </c>
      <c r="H188" s="11">
        <f>+'19'!B8</f>
        <v>0</v>
      </c>
      <c r="I188" s="11">
        <f>+'19'!C8</f>
        <v>0</v>
      </c>
      <c r="J188" s="11">
        <f>+'19'!D8</f>
        <v>0</v>
      </c>
      <c r="K188" s="13">
        <f>+'19'!E8</f>
        <v>0</v>
      </c>
      <c r="M188" s="10">
        <f>+'16'!D1</f>
        <v>46158</v>
      </c>
      <c r="N188" s="11" t="str">
        <f>+'16'!A28</f>
        <v/>
      </c>
      <c r="O188" s="11">
        <f>+'16'!B28</f>
        <v>0</v>
      </c>
      <c r="P188" s="11">
        <f>+'16'!C28</f>
        <v>0</v>
      </c>
      <c r="Q188" s="11">
        <f>+'16'!D28</f>
        <v>0</v>
      </c>
      <c r="R188" s="13">
        <f>+'16'!E28</f>
        <v>0</v>
      </c>
      <c r="T188" s="10">
        <f>+'10'!D1</f>
        <v>46152</v>
      </c>
      <c r="U188" s="56" t="str">
        <f>+'10'!A41</f>
        <v/>
      </c>
      <c r="V188" s="56">
        <f>+'10'!B41</f>
        <v>0</v>
      </c>
      <c r="W188" s="56">
        <f>+'10'!C41</f>
        <v>0</v>
      </c>
      <c r="X188" s="56">
        <f>+'10'!D41</f>
        <v>0</v>
      </c>
      <c r="Y188" s="61">
        <f>+'10'!E41</f>
        <v>0</v>
      </c>
      <c r="AB188" s="56"/>
      <c r="AC188" s="62"/>
    </row>
    <row r="189" spans="6:29">
      <c r="F189" s="10">
        <f>+'19'!D1</f>
        <v>46161</v>
      </c>
      <c r="G189" s="11" t="str">
        <f>+'19'!A9</f>
        <v/>
      </c>
      <c r="H189" s="11">
        <f>+'19'!B9</f>
        <v>0</v>
      </c>
      <c r="I189" s="11">
        <f>+'19'!C9</f>
        <v>0</v>
      </c>
      <c r="J189" s="11" t="str">
        <f>+'19'!D9</f>
        <v> </v>
      </c>
      <c r="K189" s="13">
        <f>+'19'!E9</f>
        <v>0</v>
      </c>
      <c r="M189" s="10">
        <f>+'16'!D1</f>
        <v>46158</v>
      </c>
      <c r="N189" s="11" t="str">
        <f>+'16'!A29</f>
        <v/>
      </c>
      <c r="O189" s="11">
        <f>+'16'!B29</f>
        <v>0</v>
      </c>
      <c r="P189" s="11">
        <f>+'16'!C29</f>
        <v>0</v>
      </c>
      <c r="Q189" s="11">
        <f>+'16'!D29</f>
        <v>0</v>
      </c>
      <c r="R189" s="13">
        <f>+'16'!E29</f>
        <v>0</v>
      </c>
      <c r="T189" s="10">
        <f>+'10'!D1</f>
        <v>46152</v>
      </c>
      <c r="U189" s="56" t="str">
        <f>+'10'!A42</f>
        <v/>
      </c>
      <c r="V189" s="56">
        <f>+'10'!B42</f>
        <v>0</v>
      </c>
      <c r="W189" s="56">
        <f>+'10'!C42</f>
        <v>0</v>
      </c>
      <c r="X189" s="56">
        <f>+'10'!D42</f>
        <v>0</v>
      </c>
      <c r="Y189" s="61">
        <f>+'10'!E42</f>
        <v>0</v>
      </c>
      <c r="AB189" s="56"/>
      <c r="AC189" s="62"/>
    </row>
    <row r="190" spans="6:29">
      <c r="F190" s="10">
        <f>+'19'!D1</f>
        <v>46161</v>
      </c>
      <c r="G190" s="11" t="str">
        <f>+'19'!A10</f>
        <v/>
      </c>
      <c r="H190" s="11">
        <f>+'19'!B10</f>
        <v>0</v>
      </c>
      <c r="I190" s="11">
        <f>+'19'!C10</f>
        <v>0</v>
      </c>
      <c r="J190" s="11">
        <f>+'19'!D10</f>
        <v>0</v>
      </c>
      <c r="K190" s="13">
        <f>+'19'!E10</f>
        <v>0</v>
      </c>
      <c r="M190" s="10">
        <f>+'16'!D1</f>
        <v>46158</v>
      </c>
      <c r="N190" s="11" t="str">
        <f>+'16'!A30</f>
        <v/>
      </c>
      <c r="O190" s="11">
        <f>+'16'!B30</f>
        <v>0</v>
      </c>
      <c r="P190" s="11">
        <f>+'16'!C30</f>
        <v>0</v>
      </c>
      <c r="Q190" s="11">
        <f>+'16'!D30</f>
        <v>0</v>
      </c>
      <c r="R190" s="13">
        <f>+'16'!E30</f>
        <v>0</v>
      </c>
      <c r="T190" s="10">
        <f>+'10'!D1</f>
        <v>46152</v>
      </c>
      <c r="U190" s="56" t="str">
        <f>+'10'!A43</f>
        <v/>
      </c>
      <c r="V190" s="56">
        <f>+'10'!B43</f>
        <v>0</v>
      </c>
      <c r="W190" s="56">
        <f>+'10'!C43</f>
        <v>0</v>
      </c>
      <c r="X190" s="56">
        <f>+'10'!D43</f>
        <v>0</v>
      </c>
      <c r="Y190" s="61">
        <f>+'10'!E43</f>
        <v>0</v>
      </c>
      <c r="AB190" s="56"/>
      <c r="AC190" s="62"/>
    </row>
    <row r="191" spans="6:29">
      <c r="F191" s="10">
        <f>+'19'!D1</f>
        <v>46161</v>
      </c>
      <c r="G191" s="11" t="str">
        <f>+'19'!A11</f>
        <v/>
      </c>
      <c r="H191" s="11">
        <f>+'19'!B11</f>
        <v>0</v>
      </c>
      <c r="I191" s="11">
        <f>+'19'!C11</f>
        <v>0</v>
      </c>
      <c r="J191" s="11">
        <f>+'19'!D11</f>
        <v>0</v>
      </c>
      <c r="K191" s="13">
        <f>+'19'!E11</f>
        <v>0</v>
      </c>
      <c r="M191" s="10">
        <f>+'16'!D1</f>
        <v>46158</v>
      </c>
      <c r="N191" s="11" t="str">
        <f>+'16'!A31</f>
        <v/>
      </c>
      <c r="O191" s="11">
        <f>+'16'!B31</f>
        <v>0</v>
      </c>
      <c r="P191" s="11">
        <f>+'16'!C31</f>
        <v>0</v>
      </c>
      <c r="Q191" s="11">
        <f>+'16'!D31</f>
        <v>0</v>
      </c>
      <c r="R191" s="13">
        <f>+'16'!E31</f>
        <v>0</v>
      </c>
      <c r="T191" s="10">
        <f>+'10'!D1</f>
        <v>46152</v>
      </c>
      <c r="U191" s="56" t="str">
        <f>+'10'!A44</f>
        <v/>
      </c>
      <c r="V191" s="56">
        <f>+'10'!B44</f>
        <v>0</v>
      </c>
      <c r="W191" s="56">
        <f>+'10'!C44</f>
        <v>0</v>
      </c>
      <c r="X191" s="56">
        <f>+'10'!D44</f>
        <v>0</v>
      </c>
      <c r="Y191" s="61">
        <f>+'10'!E44</f>
        <v>0</v>
      </c>
      <c r="AB191" s="56"/>
      <c r="AC191" s="62"/>
    </row>
    <row r="192" spans="6:29">
      <c r="F192" s="10">
        <f>+'19'!D1</f>
        <v>46161</v>
      </c>
      <c r="G192" s="11" t="str">
        <f>+'19'!A12</f>
        <v/>
      </c>
      <c r="H192" s="11">
        <f>+'19'!B12</f>
        <v>0</v>
      </c>
      <c r="I192" s="11">
        <f>+'19'!C12</f>
        <v>0</v>
      </c>
      <c r="J192" s="11">
        <f>+'19'!D12</f>
        <v>0</v>
      </c>
      <c r="K192" s="13">
        <f>+'19'!E12</f>
        <v>0</v>
      </c>
      <c r="M192" s="10">
        <f>+'16'!D1</f>
        <v>46158</v>
      </c>
      <c r="N192" s="11" t="str">
        <f>+'16'!A32</f>
        <v/>
      </c>
      <c r="O192" s="11">
        <f>+'16'!B32</f>
        <v>0</v>
      </c>
      <c r="P192" s="11">
        <f>+'16'!C32</f>
        <v>0</v>
      </c>
      <c r="Q192" s="11">
        <f>+'16'!D32</f>
        <v>0</v>
      </c>
      <c r="R192" s="13">
        <f>+'16'!E32</f>
        <v>0</v>
      </c>
      <c r="T192" s="10">
        <f>+'10'!D1</f>
        <v>46152</v>
      </c>
      <c r="U192" s="56" t="str">
        <f>+'10'!A45</f>
        <v/>
      </c>
      <c r="V192" s="56">
        <f>+'10'!B45</f>
        <v>0</v>
      </c>
      <c r="W192" s="56">
        <f>+'10'!C45</f>
        <v>0</v>
      </c>
      <c r="X192" s="56">
        <f>+'10'!D45</f>
        <v>0</v>
      </c>
      <c r="Y192" s="61">
        <f>+'10'!E45</f>
        <v>0</v>
      </c>
      <c r="AB192" s="56"/>
      <c r="AC192" s="62"/>
    </row>
    <row r="193" spans="6:29">
      <c r="F193" s="10">
        <f>+'20'!D1</f>
        <v>46162</v>
      </c>
      <c r="G193" s="11" t="str">
        <f>+'20'!A3</f>
        <v/>
      </c>
      <c r="H193" s="11">
        <f>+'20'!B3</f>
        <v>0</v>
      </c>
      <c r="I193" s="11">
        <f>+'20'!C3</f>
        <v>0</v>
      </c>
      <c r="J193" s="11">
        <f>+'20'!D3</f>
        <v>0</v>
      </c>
      <c r="K193" s="13">
        <f>+'20'!E3</f>
        <v>0</v>
      </c>
      <c r="M193" s="10">
        <f>+'16'!D1</f>
        <v>46158</v>
      </c>
      <c r="N193" s="11" t="str">
        <f>+'16'!A33</f>
        <v/>
      </c>
      <c r="O193" s="11">
        <f>+'16'!B33</f>
        <v>0</v>
      </c>
      <c r="P193" s="11">
        <f>+'16'!C33</f>
        <v>0</v>
      </c>
      <c r="Q193" s="11">
        <f>+'16'!D33</f>
        <v>0</v>
      </c>
      <c r="R193" s="13">
        <f>+'16'!E33</f>
        <v>0</v>
      </c>
      <c r="T193" s="10">
        <f>+'10'!D1</f>
        <v>46152</v>
      </c>
      <c r="U193" s="56" t="str">
        <f>+'10'!A46</f>
        <v/>
      </c>
      <c r="V193" s="56">
        <f>+'10'!B46</f>
        <v>0</v>
      </c>
      <c r="W193" s="56">
        <f>+'10'!C46</f>
        <v>0</v>
      </c>
      <c r="X193" s="56">
        <f>+'10'!D46</f>
        <v>0</v>
      </c>
      <c r="Y193" s="61">
        <f>+'10'!E46</f>
        <v>0</v>
      </c>
      <c r="AB193" s="56"/>
      <c r="AC193" s="62"/>
    </row>
    <row r="194" spans="6:29">
      <c r="F194" s="10">
        <f>+'20'!D1</f>
        <v>46162</v>
      </c>
      <c r="G194" s="11" t="str">
        <f>+'20'!A4</f>
        <v/>
      </c>
      <c r="H194" s="11">
        <f>+'20'!B4</f>
        <v>0</v>
      </c>
      <c r="I194" s="11">
        <f>+'20'!C4</f>
        <v>0</v>
      </c>
      <c r="J194" s="11">
        <f>+'20'!D4</f>
        <v>0</v>
      </c>
      <c r="K194" s="13">
        <f>+'20'!E4</f>
        <v>0</v>
      </c>
      <c r="M194" s="10">
        <f>+'16'!D1</f>
        <v>46158</v>
      </c>
      <c r="N194" s="11" t="str">
        <f>+'16'!A34</f>
        <v/>
      </c>
      <c r="O194" s="11">
        <f>+'16'!B34</f>
        <v>0</v>
      </c>
      <c r="P194" s="11">
        <f>+'16'!C34</f>
        <v>0</v>
      </c>
      <c r="Q194" s="11">
        <f>+'16'!D34</f>
        <v>0</v>
      </c>
      <c r="R194" s="13">
        <f>+'16'!E34</f>
        <v>0</v>
      </c>
      <c r="T194" s="10">
        <f>+'10'!D1</f>
        <v>46152</v>
      </c>
      <c r="U194" s="56" t="str">
        <f>+'10'!A47</f>
        <v/>
      </c>
      <c r="V194" s="56">
        <f>+'10'!B47</f>
        <v>0</v>
      </c>
      <c r="W194" s="56">
        <f>+'10'!C47</f>
        <v>0</v>
      </c>
      <c r="X194" s="56">
        <f>+'10'!D47</f>
        <v>0</v>
      </c>
      <c r="Y194" s="61">
        <f>+'10'!E47</f>
        <v>0</v>
      </c>
      <c r="AB194" s="56"/>
      <c r="AC194" s="62"/>
    </row>
    <row r="195" spans="6:29">
      <c r="F195" s="10">
        <f>+'20'!D1</f>
        <v>46162</v>
      </c>
      <c r="G195" s="11" t="str">
        <f>+'20'!A5</f>
        <v/>
      </c>
      <c r="H195" s="11">
        <f>+'20'!B5</f>
        <v>0</v>
      </c>
      <c r="I195" s="11">
        <f>+'20'!C5</f>
        <v>0</v>
      </c>
      <c r="J195" s="11">
        <f>+'20'!D5</f>
        <v>0</v>
      </c>
      <c r="K195" s="13">
        <f>+'20'!E5</f>
        <v>0</v>
      </c>
      <c r="M195" s="10">
        <f>+'17'!D1</f>
        <v>46159</v>
      </c>
      <c r="N195" s="11" t="str">
        <f>+'17'!A23</f>
        <v/>
      </c>
      <c r="O195" s="11">
        <f>+'17'!B23</f>
        <v>0</v>
      </c>
      <c r="P195" s="11">
        <f>+'17'!C23</f>
        <v>0</v>
      </c>
      <c r="Q195" s="11">
        <f>+'17'!D23</f>
        <v>0</v>
      </c>
      <c r="R195" s="13">
        <f>+'17'!E23</f>
        <v>0</v>
      </c>
      <c r="T195" s="10">
        <f>+'10'!D1</f>
        <v>46152</v>
      </c>
      <c r="U195" s="56" t="str">
        <f>+'10'!A48</f>
        <v/>
      </c>
      <c r="V195" s="56">
        <f>+'10'!B48</f>
        <v>0</v>
      </c>
      <c r="W195" s="56">
        <f>+'10'!C48</f>
        <v>0</v>
      </c>
      <c r="X195" s="56">
        <f>+'10'!D48</f>
        <v>0</v>
      </c>
      <c r="Y195" s="61">
        <f>+'10'!E48</f>
        <v>0</v>
      </c>
      <c r="AB195" s="56"/>
      <c r="AC195" s="62"/>
    </row>
    <row r="196" spans="6:29">
      <c r="F196" s="10">
        <f>+'20'!D1</f>
        <v>46162</v>
      </c>
      <c r="G196" s="11" t="str">
        <f>+'20'!A6</f>
        <v/>
      </c>
      <c r="H196" s="11">
        <f>+'20'!B6</f>
        <v>0</v>
      </c>
      <c r="I196" s="11">
        <f>+'20'!C6</f>
        <v>0</v>
      </c>
      <c r="J196" s="11">
        <f>+'20'!D6</f>
        <v>0</v>
      </c>
      <c r="K196" s="13">
        <f>+'20'!E6</f>
        <v>0</v>
      </c>
      <c r="M196" s="10">
        <f>+'17'!D1</f>
        <v>46159</v>
      </c>
      <c r="N196" s="11" t="str">
        <f>+'17'!A24</f>
        <v/>
      </c>
      <c r="O196" s="11">
        <f>+'17'!B24</f>
        <v>0</v>
      </c>
      <c r="P196" s="11">
        <f>+'17'!C24</f>
        <v>0</v>
      </c>
      <c r="Q196" s="11">
        <f>+'17'!D24</f>
        <v>0</v>
      </c>
      <c r="R196" s="13">
        <f>+'17'!E24</f>
        <v>0</v>
      </c>
      <c r="T196" s="10">
        <f>+'10'!D1</f>
        <v>46152</v>
      </c>
      <c r="U196" s="56" t="str">
        <f>+'10'!A49</f>
        <v/>
      </c>
      <c r="V196" s="56">
        <f>+'10'!B49</f>
        <v>0</v>
      </c>
      <c r="W196" s="56">
        <f>+'10'!C49</f>
        <v>0</v>
      </c>
      <c r="X196" s="56">
        <f>+'10'!D49</f>
        <v>0</v>
      </c>
      <c r="Y196" s="61">
        <f>+'10'!E49</f>
        <v>0</v>
      </c>
      <c r="AB196" s="56"/>
      <c r="AC196" s="62"/>
    </row>
    <row r="197" spans="6:29">
      <c r="F197" s="10">
        <f>+'20'!D1</f>
        <v>46162</v>
      </c>
      <c r="G197" s="11" t="str">
        <f>+'20'!A7</f>
        <v/>
      </c>
      <c r="H197" s="11">
        <f>+'20'!B7</f>
        <v>0</v>
      </c>
      <c r="I197" s="11">
        <f>+'20'!C7</f>
        <v>0</v>
      </c>
      <c r="J197" s="11">
        <f>+'20'!D7</f>
        <v>0</v>
      </c>
      <c r="K197" s="13">
        <f>+'20'!E7</f>
        <v>0</v>
      </c>
      <c r="M197" s="10">
        <f>+'17'!D1</f>
        <v>46159</v>
      </c>
      <c r="N197" s="11" t="str">
        <f>+'17'!A25</f>
        <v/>
      </c>
      <c r="O197" s="11">
        <f>+'17'!B25</f>
        <v>0</v>
      </c>
      <c r="P197" s="11">
        <f>+'17'!C25</f>
        <v>0</v>
      </c>
      <c r="Q197" s="11">
        <f>+'17'!D25</f>
        <v>0</v>
      </c>
      <c r="R197" s="13">
        <f>+'17'!E25</f>
        <v>0</v>
      </c>
      <c r="T197" s="10">
        <f>+'10'!D1</f>
        <v>46152</v>
      </c>
      <c r="U197" s="56" t="str">
        <f>+'10'!A50</f>
        <v/>
      </c>
      <c r="V197" s="56">
        <f>+'10'!B50</f>
        <v>0</v>
      </c>
      <c r="W197" s="56">
        <f>+'10'!C50</f>
        <v>0</v>
      </c>
      <c r="X197" s="56">
        <f>+'10'!D50</f>
        <v>0</v>
      </c>
      <c r="Y197" s="61">
        <f>+'10'!E50</f>
        <v>0</v>
      </c>
      <c r="AB197" s="56"/>
      <c r="AC197" s="62"/>
    </row>
    <row r="198" spans="6:29">
      <c r="F198" s="10">
        <f>+'20'!D1</f>
        <v>46162</v>
      </c>
      <c r="G198" s="11" t="str">
        <f>+'20'!A8</f>
        <v/>
      </c>
      <c r="H198" s="11">
        <f>+'20'!B8</f>
        <v>0</v>
      </c>
      <c r="I198" s="11">
        <f>+'20'!C8</f>
        <v>0</v>
      </c>
      <c r="J198" s="11">
        <f>+'20'!D8</f>
        <v>0</v>
      </c>
      <c r="K198" s="13">
        <f>+'20'!E8</f>
        <v>0</v>
      </c>
      <c r="M198" s="10">
        <f>+'17'!D1</f>
        <v>46159</v>
      </c>
      <c r="N198" s="11" t="str">
        <f>+'17'!A26</f>
        <v/>
      </c>
      <c r="O198" s="11">
        <f>+'17'!B26</f>
        <v>0</v>
      </c>
      <c r="P198" s="11">
        <f>+'17'!C26</f>
        <v>0</v>
      </c>
      <c r="Q198" s="11">
        <f>+'17'!D26</f>
        <v>0</v>
      </c>
      <c r="R198" s="13">
        <f>+'17'!E26</f>
        <v>0</v>
      </c>
      <c r="T198" s="10">
        <f>+'10'!D1</f>
        <v>46152</v>
      </c>
      <c r="U198" s="56" t="str">
        <f>+'10'!A51</f>
        <v/>
      </c>
      <c r="V198" s="56">
        <f>+'10'!B51</f>
        <v>0</v>
      </c>
      <c r="W198" s="56">
        <f>+'10'!C51</f>
        <v>0</v>
      </c>
      <c r="X198" s="56">
        <f>+'10'!D51</f>
        <v>0</v>
      </c>
      <c r="Y198" s="61">
        <f>+'10'!E51</f>
        <v>0</v>
      </c>
      <c r="AB198" s="56"/>
      <c r="AC198" s="62"/>
    </row>
    <row r="199" spans="6:29">
      <c r="F199" s="10">
        <f>+'20'!D1</f>
        <v>46162</v>
      </c>
      <c r="G199" s="11" t="str">
        <f>+'20'!A9</f>
        <v/>
      </c>
      <c r="H199" s="11">
        <f>+'20'!B9</f>
        <v>0</v>
      </c>
      <c r="I199" s="11">
        <f>+'20'!C9</f>
        <v>0</v>
      </c>
      <c r="J199" s="11" t="str">
        <f>+'20'!D9</f>
        <v> </v>
      </c>
      <c r="K199" s="13">
        <f>+'20'!E9</f>
        <v>0</v>
      </c>
      <c r="M199" s="10">
        <f>+'17'!D1</f>
        <v>46159</v>
      </c>
      <c r="N199" s="11" t="str">
        <f>+'17'!A27</f>
        <v/>
      </c>
      <c r="O199" s="11">
        <f>+'17'!B27</f>
        <v>0</v>
      </c>
      <c r="P199" s="11">
        <f>+'17'!C27</f>
        <v>0</v>
      </c>
      <c r="Q199" s="11">
        <f>+'17'!D27</f>
        <v>0</v>
      </c>
      <c r="R199" s="13">
        <f>+'17'!E27</f>
        <v>0</v>
      </c>
      <c r="T199" s="10">
        <f>+'10'!D1</f>
        <v>46152</v>
      </c>
      <c r="U199" s="56" t="str">
        <f>+'10'!A52</f>
        <v/>
      </c>
      <c r="V199" s="56">
        <f>+'10'!B52</f>
        <v>0</v>
      </c>
      <c r="W199" s="56">
        <f>+'10'!C52</f>
        <v>0</v>
      </c>
      <c r="X199" s="56">
        <f>+'10'!D52</f>
        <v>0</v>
      </c>
      <c r="Y199" s="61">
        <f>+'10'!E52</f>
        <v>0</v>
      </c>
      <c r="AB199" s="56"/>
      <c r="AC199" s="62"/>
    </row>
    <row r="200" spans="6:29">
      <c r="F200" s="10">
        <f>+'20'!D1</f>
        <v>46162</v>
      </c>
      <c r="G200" s="11" t="str">
        <f>+'20'!A10</f>
        <v/>
      </c>
      <c r="H200" s="11">
        <f>+'20'!B10</f>
        <v>0</v>
      </c>
      <c r="I200" s="11">
        <f>+'20'!C10</f>
        <v>0</v>
      </c>
      <c r="J200" s="11">
        <f>+'20'!D10</f>
        <v>0</v>
      </c>
      <c r="K200" s="13">
        <f>+'20'!E10</f>
        <v>0</v>
      </c>
      <c r="M200" s="10">
        <f>+'17'!D1</f>
        <v>46159</v>
      </c>
      <c r="N200" s="11" t="str">
        <f>+'17'!A28</f>
        <v/>
      </c>
      <c r="O200" s="11">
        <f>+'17'!B28</f>
        <v>0</v>
      </c>
      <c r="P200" s="11">
        <f>+'17'!C28</f>
        <v>0</v>
      </c>
      <c r="Q200" s="11">
        <f>+'17'!D28</f>
        <v>0</v>
      </c>
      <c r="R200" s="13">
        <f>+'17'!E28</f>
        <v>0</v>
      </c>
      <c r="T200" s="10">
        <f>+'10'!D1</f>
        <v>46152</v>
      </c>
      <c r="U200" s="56" t="str">
        <f>+'10'!A53</f>
        <v/>
      </c>
      <c r="V200" s="56">
        <f>+'10'!B53</f>
        <v>0</v>
      </c>
      <c r="W200" s="56">
        <f>+'10'!C53</f>
        <v>0</v>
      </c>
      <c r="X200" s="56">
        <f>+'10'!D53</f>
        <v>0</v>
      </c>
      <c r="Y200" s="61">
        <f>+'10'!E53</f>
        <v>0</v>
      </c>
      <c r="AB200" s="56"/>
      <c r="AC200" s="62"/>
    </row>
    <row r="201" spans="6:29">
      <c r="F201" s="10">
        <f>+'20'!D1</f>
        <v>46162</v>
      </c>
      <c r="G201" s="11" t="str">
        <f>+'20'!A11</f>
        <v/>
      </c>
      <c r="H201" s="11">
        <f>+'20'!B11</f>
        <v>0</v>
      </c>
      <c r="I201" s="11">
        <f>+'20'!C11</f>
        <v>0</v>
      </c>
      <c r="J201" s="11">
        <f>+'20'!D11</f>
        <v>0</v>
      </c>
      <c r="K201" s="13">
        <f>+'20'!E11</f>
        <v>0</v>
      </c>
      <c r="M201" s="10">
        <f>+'17'!D1</f>
        <v>46159</v>
      </c>
      <c r="N201" s="11" t="str">
        <f>+'17'!A29</f>
        <v/>
      </c>
      <c r="O201" s="11">
        <f>+'17'!B29</f>
        <v>0</v>
      </c>
      <c r="P201" s="11">
        <f>+'17'!C29</f>
        <v>0</v>
      </c>
      <c r="Q201" s="11">
        <f>+'17'!D29</f>
        <v>0</v>
      </c>
      <c r="R201" s="13">
        <f>+'17'!E29</f>
        <v>0</v>
      </c>
      <c r="T201" s="10">
        <f>+'10'!D1</f>
        <v>46152</v>
      </c>
      <c r="U201" s="56" t="str">
        <f>+'10'!A54</f>
        <v/>
      </c>
      <c r="V201" s="56">
        <f>+'10'!B54</f>
        <v>0</v>
      </c>
      <c r="W201" s="56">
        <f>+'10'!C54</f>
        <v>0</v>
      </c>
      <c r="X201" s="56">
        <f>+'10'!D54</f>
        <v>0</v>
      </c>
      <c r="Y201" s="61">
        <f>+'10'!E54</f>
        <v>0</v>
      </c>
      <c r="AB201" s="56"/>
      <c r="AC201" s="62"/>
    </row>
    <row r="202" spans="6:29">
      <c r="F202" s="10">
        <f>+'20'!D1</f>
        <v>46162</v>
      </c>
      <c r="G202" s="11" t="str">
        <f>+'20'!A12</f>
        <v/>
      </c>
      <c r="H202" s="11">
        <f>+'20'!B12</f>
        <v>0</v>
      </c>
      <c r="I202" s="11">
        <f>+'20'!C12</f>
        <v>0</v>
      </c>
      <c r="J202" s="11">
        <f>+'20'!D12</f>
        <v>0</v>
      </c>
      <c r="K202" s="13">
        <f>+'20'!E12</f>
        <v>0</v>
      </c>
      <c r="M202" s="10">
        <f>+'17'!D1</f>
        <v>46159</v>
      </c>
      <c r="N202" s="11" t="str">
        <f>+'17'!A30</f>
        <v/>
      </c>
      <c r="O202" s="11">
        <f>+'17'!B30</f>
        <v>0</v>
      </c>
      <c r="P202" s="11">
        <f>+'17'!C30</f>
        <v>0</v>
      </c>
      <c r="Q202" s="11">
        <f>+'17'!D30</f>
        <v>0</v>
      </c>
      <c r="R202" s="13">
        <f>+'17'!E30</f>
        <v>0</v>
      </c>
      <c r="T202" s="10">
        <f>+'10'!D1</f>
        <v>46152</v>
      </c>
      <c r="U202" s="56" t="str">
        <f>+'10'!A55</f>
        <v/>
      </c>
      <c r="V202" s="56">
        <f>+'10'!B55</f>
        <v>0</v>
      </c>
      <c r="W202" s="56">
        <f>+'10'!C55</f>
        <v>0</v>
      </c>
      <c r="X202" s="56">
        <f>+'10'!D55</f>
        <v>0</v>
      </c>
      <c r="Y202" s="61">
        <f>+'10'!E55</f>
        <v>0</v>
      </c>
      <c r="AB202" s="56"/>
      <c r="AC202" s="62"/>
    </row>
    <row r="203" spans="6:29">
      <c r="F203" s="10">
        <f>+'21'!D1</f>
        <v>46163</v>
      </c>
      <c r="G203" s="11" t="str">
        <f>+'21'!A3</f>
        <v/>
      </c>
      <c r="H203" s="11">
        <f>+'21'!B3</f>
        <v>0</v>
      </c>
      <c r="I203" s="11">
        <f>+'21'!C3</f>
        <v>0</v>
      </c>
      <c r="J203" s="11">
        <f>+'21'!D3</f>
        <v>0</v>
      </c>
      <c r="K203" s="13">
        <f>+'21'!E3</f>
        <v>0</v>
      </c>
      <c r="M203" s="10">
        <f>+'17'!D1</f>
        <v>46159</v>
      </c>
      <c r="N203" s="11" t="str">
        <f>+'17'!A31</f>
        <v/>
      </c>
      <c r="O203" s="11">
        <f>+'17'!B31</f>
        <v>0</v>
      </c>
      <c r="P203" s="11">
        <f>+'17'!C31</f>
        <v>0</v>
      </c>
      <c r="Q203" s="11">
        <f>+'17'!D31</f>
        <v>0</v>
      </c>
      <c r="R203" s="13">
        <f>+'17'!E31</f>
        <v>0</v>
      </c>
      <c r="T203" s="10">
        <f>+'11'!D1</f>
        <v>46153</v>
      </c>
      <c r="U203" s="56" t="str">
        <f>+'11'!A36</f>
        <v/>
      </c>
      <c r="V203" s="56">
        <f>+'11'!B36</f>
        <v>0</v>
      </c>
      <c r="W203" s="56">
        <f>+'11'!C36</f>
        <v>0</v>
      </c>
      <c r="X203" s="56">
        <f>+'11'!D36</f>
        <v>0</v>
      </c>
      <c r="Y203" s="61">
        <f>+'11'!E36</f>
        <v>0</v>
      </c>
      <c r="AB203" s="56"/>
      <c r="AC203" s="62"/>
    </row>
    <row r="204" spans="6:29">
      <c r="F204" s="10">
        <f>+'21'!D1</f>
        <v>46163</v>
      </c>
      <c r="G204" s="11" t="str">
        <f>+'21'!A4</f>
        <v/>
      </c>
      <c r="H204" s="11">
        <f>+'21'!B4</f>
        <v>0</v>
      </c>
      <c r="I204" s="11">
        <f>+'21'!C4</f>
        <v>0</v>
      </c>
      <c r="J204" s="11">
        <f>+'21'!D4</f>
        <v>0</v>
      </c>
      <c r="K204" s="13">
        <f>+'21'!E4</f>
        <v>0</v>
      </c>
      <c r="M204" s="10">
        <f>+'17'!D1</f>
        <v>46159</v>
      </c>
      <c r="N204" s="11" t="str">
        <f>+'17'!A32</f>
        <v/>
      </c>
      <c r="O204" s="11">
        <f>+'17'!B32</f>
        <v>0</v>
      </c>
      <c r="P204" s="11">
        <f>+'17'!C32</f>
        <v>0</v>
      </c>
      <c r="Q204" s="11">
        <f>+'17'!D32</f>
        <v>0</v>
      </c>
      <c r="R204" s="13">
        <f>+'17'!E32</f>
        <v>0</v>
      </c>
      <c r="T204" s="10">
        <f>+'11'!D1</f>
        <v>46153</v>
      </c>
      <c r="U204" s="56" t="str">
        <f>+'11'!A37</f>
        <v/>
      </c>
      <c r="V204" s="56">
        <f>+'11'!B37</f>
        <v>0</v>
      </c>
      <c r="W204" s="56">
        <f>+'11'!C37</f>
        <v>0</v>
      </c>
      <c r="X204" s="56">
        <f>+'11'!D37</f>
        <v>0</v>
      </c>
      <c r="Y204" s="61">
        <f>+'11'!E37</f>
        <v>0</v>
      </c>
      <c r="AB204" s="56"/>
      <c r="AC204" s="62"/>
    </row>
    <row r="205" spans="6:29">
      <c r="F205" s="10">
        <f>+'21'!D1</f>
        <v>46163</v>
      </c>
      <c r="G205" s="11" t="str">
        <f>+'21'!A5</f>
        <v/>
      </c>
      <c r="H205" s="11">
        <f>+'21'!B5</f>
        <v>0</v>
      </c>
      <c r="I205" s="11">
        <f>+'21'!C5</f>
        <v>0</v>
      </c>
      <c r="J205" s="11">
        <f>+'21'!D5</f>
        <v>0</v>
      </c>
      <c r="K205" s="13">
        <f>+'21'!E5</f>
        <v>0</v>
      </c>
      <c r="M205" s="10">
        <f>+'17'!D1</f>
        <v>46159</v>
      </c>
      <c r="N205" s="11" t="str">
        <f>+'17'!A33</f>
        <v/>
      </c>
      <c r="O205" s="11">
        <f>+'17'!B33</f>
        <v>0</v>
      </c>
      <c r="P205" s="11">
        <f>+'17'!C33</f>
        <v>0</v>
      </c>
      <c r="Q205" s="11">
        <f>+'17'!D33</f>
        <v>0</v>
      </c>
      <c r="R205" s="13">
        <f>+'17'!E33</f>
        <v>0</v>
      </c>
      <c r="T205" s="10">
        <f>+'11'!D1</f>
        <v>46153</v>
      </c>
      <c r="U205" s="56" t="str">
        <f>+'11'!A38</f>
        <v/>
      </c>
      <c r="V205" s="56">
        <f>+'11'!B38</f>
        <v>0</v>
      </c>
      <c r="W205" s="56">
        <f>+'11'!C38</f>
        <v>0</v>
      </c>
      <c r="X205" s="56">
        <f>+'11'!D38</f>
        <v>0</v>
      </c>
      <c r="Y205" s="61">
        <f>+'11'!E38</f>
        <v>0</v>
      </c>
      <c r="AB205" s="56"/>
      <c r="AC205" s="62"/>
    </row>
    <row r="206" spans="6:29">
      <c r="F206" s="10">
        <f>+'21'!D1</f>
        <v>46163</v>
      </c>
      <c r="G206" s="11" t="str">
        <f>+'21'!A6</f>
        <v/>
      </c>
      <c r="H206" s="11">
        <f>+'21'!B6</f>
        <v>0</v>
      </c>
      <c r="I206" s="11">
        <f>+'21'!C6</f>
        <v>0</v>
      </c>
      <c r="J206" s="11">
        <f>+'21'!D6</f>
        <v>0</v>
      </c>
      <c r="K206" s="13">
        <f>+'21'!E6</f>
        <v>0</v>
      </c>
      <c r="M206" s="10">
        <f>+'17'!D1</f>
        <v>46159</v>
      </c>
      <c r="N206" s="11" t="str">
        <f>+'17'!A34</f>
        <v/>
      </c>
      <c r="O206" s="11">
        <f>+'17'!B34</f>
        <v>0</v>
      </c>
      <c r="P206" s="11">
        <f>+'17'!C34</f>
        <v>0</v>
      </c>
      <c r="Q206" s="11">
        <f>+'17'!D34</f>
        <v>0</v>
      </c>
      <c r="R206" s="13">
        <f>+'17'!E34</f>
        <v>0</v>
      </c>
      <c r="T206" s="10">
        <f>+'11'!D1</f>
        <v>46153</v>
      </c>
      <c r="U206" s="56" t="str">
        <f>+'11'!A39</f>
        <v/>
      </c>
      <c r="V206" s="56">
        <f>+'11'!B39</f>
        <v>0</v>
      </c>
      <c r="W206" s="56">
        <f>+'11'!C39</f>
        <v>0</v>
      </c>
      <c r="X206" s="56">
        <f>+'11'!D39</f>
        <v>0</v>
      </c>
      <c r="Y206" s="61">
        <f>+'11'!E39</f>
        <v>0</v>
      </c>
      <c r="AB206" s="56"/>
      <c r="AC206" s="62"/>
    </row>
    <row r="207" spans="6:29">
      <c r="F207" s="10">
        <f>+'21'!D1</f>
        <v>46163</v>
      </c>
      <c r="G207" s="11" t="str">
        <f>+'21'!A7</f>
        <v/>
      </c>
      <c r="H207" s="11">
        <f>+'21'!B7</f>
        <v>0</v>
      </c>
      <c r="I207" s="11">
        <f>+'21'!C7</f>
        <v>0</v>
      </c>
      <c r="J207" s="11">
        <f>+'21'!D7</f>
        <v>0</v>
      </c>
      <c r="K207" s="13">
        <f>+'21'!E7</f>
        <v>0</v>
      </c>
      <c r="M207" s="10">
        <f>+'18'!D1</f>
        <v>46160</v>
      </c>
      <c r="N207" s="11" t="str">
        <f>+'18'!A23</f>
        <v/>
      </c>
      <c r="O207" s="11">
        <f>+'18'!B23</f>
        <v>0</v>
      </c>
      <c r="P207" s="11">
        <f>+'18'!C23</f>
        <v>0</v>
      </c>
      <c r="Q207" s="11">
        <f>+'18'!D23</f>
        <v>0</v>
      </c>
      <c r="R207" s="13">
        <f>+'18'!E23</f>
        <v>0</v>
      </c>
      <c r="T207" s="10">
        <f>+'11'!D1</f>
        <v>46153</v>
      </c>
      <c r="U207" s="56" t="str">
        <f>+'11'!A40</f>
        <v/>
      </c>
      <c r="V207" s="56">
        <f>+'11'!B40</f>
        <v>0</v>
      </c>
      <c r="W207" s="56">
        <f>+'11'!C40</f>
        <v>0</v>
      </c>
      <c r="X207" s="56">
        <f>+'11'!D40</f>
        <v>0</v>
      </c>
      <c r="Y207" s="61">
        <f>+'11'!E40</f>
        <v>0</v>
      </c>
      <c r="AB207" s="56"/>
      <c r="AC207" s="62"/>
    </row>
    <row r="208" spans="6:29">
      <c r="F208" s="10">
        <f>+'21'!D1</f>
        <v>46163</v>
      </c>
      <c r="G208" s="11" t="str">
        <f>+'21'!A8</f>
        <v/>
      </c>
      <c r="H208" s="11">
        <f>+'21'!B8</f>
        <v>0</v>
      </c>
      <c r="I208" s="11">
        <f>+'21'!C8</f>
        <v>0</v>
      </c>
      <c r="J208" s="11">
        <f>+'21'!D8</f>
        <v>0</v>
      </c>
      <c r="K208" s="13">
        <f>+'21'!E8</f>
        <v>0</v>
      </c>
      <c r="M208" s="10">
        <f>+'18'!D1</f>
        <v>46160</v>
      </c>
      <c r="N208" s="11" t="str">
        <f>+'18'!A24</f>
        <v/>
      </c>
      <c r="O208" s="11">
        <f>+'18'!B24</f>
        <v>0</v>
      </c>
      <c r="P208" s="11">
        <f>+'18'!C24</f>
        <v>0</v>
      </c>
      <c r="Q208" s="11">
        <f>+'18'!D24</f>
        <v>0</v>
      </c>
      <c r="R208" s="13">
        <f>+'18'!E24</f>
        <v>0</v>
      </c>
      <c r="T208" s="10">
        <f>+'11'!D1</f>
        <v>46153</v>
      </c>
      <c r="U208" s="56" t="str">
        <f>+'11'!A41</f>
        <v/>
      </c>
      <c r="V208" s="56">
        <f>+'11'!B41</f>
        <v>0</v>
      </c>
      <c r="W208" s="56">
        <f>+'11'!C41</f>
        <v>0</v>
      </c>
      <c r="X208" s="56">
        <f>+'11'!D41</f>
        <v>0</v>
      </c>
      <c r="Y208" s="61">
        <f>+'11'!E41</f>
        <v>0</v>
      </c>
      <c r="AB208" s="56"/>
      <c r="AC208" s="62"/>
    </row>
    <row r="209" spans="6:29">
      <c r="F209" s="10">
        <f>+'21'!D1</f>
        <v>46163</v>
      </c>
      <c r="G209" s="11" t="str">
        <f>+'21'!A9</f>
        <v/>
      </c>
      <c r="H209" s="11">
        <f>+'21'!B9</f>
        <v>0</v>
      </c>
      <c r="I209" s="11">
        <f>+'21'!C9</f>
        <v>0</v>
      </c>
      <c r="J209" s="11" t="str">
        <f>+'21'!D9</f>
        <v> </v>
      </c>
      <c r="K209" s="13">
        <f>+'21'!E9</f>
        <v>0</v>
      </c>
      <c r="M209" s="10">
        <f>+'18'!D1</f>
        <v>46160</v>
      </c>
      <c r="N209" s="11" t="str">
        <f>+'18'!A25</f>
        <v/>
      </c>
      <c r="O209" s="11">
        <f>+'18'!B25</f>
        <v>0</v>
      </c>
      <c r="P209" s="11">
        <f>+'18'!C25</f>
        <v>0</v>
      </c>
      <c r="Q209" s="11">
        <f>+'18'!D25</f>
        <v>0</v>
      </c>
      <c r="R209" s="13">
        <f>+'18'!E25</f>
        <v>0</v>
      </c>
      <c r="T209" s="10">
        <f>+'11'!D1</f>
        <v>46153</v>
      </c>
      <c r="U209" s="56" t="str">
        <f>+'11'!A42</f>
        <v/>
      </c>
      <c r="V209" s="56">
        <f>+'11'!B42</f>
        <v>0</v>
      </c>
      <c r="W209" s="56">
        <f>+'11'!C42</f>
        <v>0</v>
      </c>
      <c r="X209" s="56">
        <f>+'11'!D42</f>
        <v>0</v>
      </c>
      <c r="Y209" s="61">
        <f>+'11'!E42</f>
        <v>0</v>
      </c>
      <c r="AB209" s="56"/>
      <c r="AC209" s="62"/>
    </row>
    <row r="210" spans="6:29">
      <c r="F210" s="10">
        <f>+'21'!D1</f>
        <v>46163</v>
      </c>
      <c r="G210" s="11" t="str">
        <f>+'21'!A10</f>
        <v/>
      </c>
      <c r="H210" s="11">
        <f>+'21'!B10</f>
        <v>0</v>
      </c>
      <c r="I210" s="11">
        <f>+'21'!C10</f>
        <v>0</v>
      </c>
      <c r="J210" s="11">
        <f>+'21'!D10</f>
        <v>0</v>
      </c>
      <c r="K210" s="13">
        <f>+'21'!E10</f>
        <v>0</v>
      </c>
      <c r="M210" s="10">
        <f>+'18'!D1</f>
        <v>46160</v>
      </c>
      <c r="N210" s="11" t="str">
        <f>+'18'!A26</f>
        <v/>
      </c>
      <c r="O210" s="11">
        <f>+'18'!B26</f>
        <v>0</v>
      </c>
      <c r="P210" s="11">
        <f>+'18'!C26</f>
        <v>0</v>
      </c>
      <c r="Q210" s="11">
        <f>+'18'!D26</f>
        <v>0</v>
      </c>
      <c r="R210" s="13">
        <f>+'18'!E26</f>
        <v>0</v>
      </c>
      <c r="T210" s="10">
        <f>+'11'!D1</f>
        <v>46153</v>
      </c>
      <c r="U210" s="56" t="str">
        <f>+'11'!A43</f>
        <v/>
      </c>
      <c r="V210" s="56">
        <f>+'11'!B43</f>
        <v>0</v>
      </c>
      <c r="W210" s="56">
        <f>+'11'!C43</f>
        <v>0</v>
      </c>
      <c r="X210" s="56">
        <f>+'11'!D43</f>
        <v>0</v>
      </c>
      <c r="Y210" s="61">
        <f>+'11'!E43</f>
        <v>0</v>
      </c>
      <c r="AB210" s="56"/>
      <c r="AC210" s="62"/>
    </row>
    <row r="211" spans="6:29">
      <c r="F211" s="10">
        <f>+'21'!D1</f>
        <v>46163</v>
      </c>
      <c r="G211" s="11" t="str">
        <f>+'21'!A11</f>
        <v/>
      </c>
      <c r="H211" s="11">
        <f>+'21'!B11</f>
        <v>0</v>
      </c>
      <c r="I211" s="11">
        <f>+'21'!C11</f>
        <v>0</v>
      </c>
      <c r="J211" s="11">
        <f>+'21'!D11</f>
        <v>0</v>
      </c>
      <c r="K211" s="13">
        <f>+'21'!E11</f>
        <v>0</v>
      </c>
      <c r="M211" s="10">
        <f>+'18'!D1</f>
        <v>46160</v>
      </c>
      <c r="N211" s="11" t="str">
        <f>+'18'!A27</f>
        <v/>
      </c>
      <c r="O211" s="11">
        <f>+'18'!B27</f>
        <v>0</v>
      </c>
      <c r="P211" s="11">
        <f>+'18'!C27</f>
        <v>0</v>
      </c>
      <c r="Q211" s="11">
        <f>+'18'!D27</f>
        <v>0</v>
      </c>
      <c r="R211" s="13">
        <f>+'18'!E27</f>
        <v>0</v>
      </c>
      <c r="T211" s="10">
        <f>+'11'!D1</f>
        <v>46153</v>
      </c>
      <c r="U211" s="56" t="str">
        <f>+'11'!A44</f>
        <v/>
      </c>
      <c r="V211" s="56">
        <f>+'11'!B44</f>
        <v>0</v>
      </c>
      <c r="W211" s="56">
        <f>+'11'!C44</f>
        <v>0</v>
      </c>
      <c r="X211" s="56">
        <f>+'11'!D44</f>
        <v>0</v>
      </c>
      <c r="Y211" s="61">
        <f>+'11'!E44</f>
        <v>0</v>
      </c>
      <c r="AB211" s="56"/>
      <c r="AC211" s="62"/>
    </row>
    <row r="212" spans="6:29">
      <c r="F212" s="10">
        <f>+'21'!D1</f>
        <v>46163</v>
      </c>
      <c r="G212" s="11" t="str">
        <f>+'21'!A12</f>
        <v/>
      </c>
      <c r="H212" s="11">
        <f>+'21'!B12</f>
        <v>0</v>
      </c>
      <c r="I212" s="11">
        <f>+'21'!C12</f>
        <v>0</v>
      </c>
      <c r="J212" s="11">
        <f>+'21'!D12</f>
        <v>0</v>
      </c>
      <c r="K212" s="13">
        <f>+'21'!E12</f>
        <v>0</v>
      </c>
      <c r="M212" s="10">
        <f>+'18'!D1</f>
        <v>46160</v>
      </c>
      <c r="N212" s="11" t="str">
        <f>+'18'!A28</f>
        <v/>
      </c>
      <c r="O212" s="11">
        <f>+'18'!B28</f>
        <v>0</v>
      </c>
      <c r="P212" s="11">
        <f>+'18'!C28</f>
        <v>0</v>
      </c>
      <c r="Q212" s="11">
        <f>+'18'!D28</f>
        <v>0</v>
      </c>
      <c r="R212" s="13">
        <f>+'18'!E28</f>
        <v>0</v>
      </c>
      <c r="T212" s="10">
        <f>+'11'!D1</f>
        <v>46153</v>
      </c>
      <c r="U212" s="56" t="str">
        <f>+'11'!A45</f>
        <v/>
      </c>
      <c r="V212" s="56">
        <f>+'11'!B45</f>
        <v>0</v>
      </c>
      <c r="W212" s="56">
        <f>+'11'!C45</f>
        <v>0</v>
      </c>
      <c r="X212" s="56">
        <f>+'11'!D45</f>
        <v>0</v>
      </c>
      <c r="Y212" s="61">
        <f>+'11'!E45</f>
        <v>0</v>
      </c>
      <c r="AB212" s="56"/>
      <c r="AC212" s="62"/>
    </row>
    <row r="213" spans="6:29">
      <c r="F213" s="10">
        <f>+'22'!D1</f>
        <v>46164</v>
      </c>
      <c r="G213" s="11" t="str">
        <f>+'22'!A3</f>
        <v/>
      </c>
      <c r="H213" s="11">
        <f>+'22'!B3</f>
        <v>0</v>
      </c>
      <c r="I213" s="11">
        <f>+'22'!C3</f>
        <v>0</v>
      </c>
      <c r="J213" s="11">
        <f>+'22'!D3</f>
        <v>0</v>
      </c>
      <c r="K213" s="13">
        <f>+'22'!E3</f>
        <v>0</v>
      </c>
      <c r="M213" s="10">
        <f>+'18'!D1</f>
        <v>46160</v>
      </c>
      <c r="N213" s="11" t="str">
        <f>+'18'!A29</f>
        <v/>
      </c>
      <c r="O213" s="11">
        <f>+'18'!B29</f>
        <v>0</v>
      </c>
      <c r="P213" s="11">
        <f>+'18'!C29</f>
        <v>0</v>
      </c>
      <c r="Q213" s="11">
        <f>+'18'!D29</f>
        <v>0</v>
      </c>
      <c r="R213" s="13">
        <f>+'18'!E29</f>
        <v>0</v>
      </c>
      <c r="T213" s="10">
        <f>+'11'!D1</f>
        <v>46153</v>
      </c>
      <c r="U213" s="56" t="str">
        <f>+'11'!A46</f>
        <v/>
      </c>
      <c r="V213" s="56">
        <f>+'11'!B46</f>
        <v>0</v>
      </c>
      <c r="W213" s="56">
        <f>+'11'!C46</f>
        <v>0</v>
      </c>
      <c r="X213" s="56">
        <f>+'11'!D46</f>
        <v>0</v>
      </c>
      <c r="Y213" s="61">
        <f>+'11'!E46</f>
        <v>0</v>
      </c>
      <c r="AB213" s="56"/>
      <c r="AC213" s="62"/>
    </row>
    <row r="214" spans="6:29">
      <c r="F214" s="10">
        <f>+'22'!D1</f>
        <v>46164</v>
      </c>
      <c r="G214" s="11" t="str">
        <f>+'22'!A4</f>
        <v/>
      </c>
      <c r="H214" s="11">
        <f>+'22'!B4</f>
        <v>0</v>
      </c>
      <c r="I214" s="11">
        <f>+'22'!C4</f>
        <v>0</v>
      </c>
      <c r="J214" s="11">
        <f>+'22'!D4</f>
        <v>0</v>
      </c>
      <c r="K214" s="13">
        <f>+'22'!E4</f>
        <v>0</v>
      </c>
      <c r="M214" s="10">
        <f>+'18'!D1</f>
        <v>46160</v>
      </c>
      <c r="N214" s="11" t="str">
        <f>+'18'!A30</f>
        <v/>
      </c>
      <c r="O214" s="11">
        <f>+'18'!B30</f>
        <v>0</v>
      </c>
      <c r="P214" s="11">
        <f>+'18'!C30</f>
        <v>0</v>
      </c>
      <c r="Q214" s="11">
        <f>+'18'!D30</f>
        <v>0</v>
      </c>
      <c r="R214" s="13">
        <f>+'18'!E30</f>
        <v>0</v>
      </c>
      <c r="T214" s="10">
        <f>+'11'!D1</f>
        <v>46153</v>
      </c>
      <c r="U214" s="56" t="str">
        <f>+'11'!A47</f>
        <v/>
      </c>
      <c r="V214" s="56">
        <f>+'11'!B47</f>
        <v>0</v>
      </c>
      <c r="W214" s="56">
        <f>+'11'!C47</f>
        <v>0</v>
      </c>
      <c r="X214" s="56">
        <f>+'11'!D47</f>
        <v>0</v>
      </c>
      <c r="Y214" s="61">
        <f>+'11'!E47</f>
        <v>0</v>
      </c>
      <c r="AB214" s="56"/>
      <c r="AC214" s="62"/>
    </row>
    <row r="215" spans="6:29">
      <c r="F215" s="10">
        <f>+'22'!D1</f>
        <v>46164</v>
      </c>
      <c r="G215" s="11" t="str">
        <f>+'22'!A5</f>
        <v/>
      </c>
      <c r="H215" s="11">
        <f>+'22'!B5</f>
        <v>0</v>
      </c>
      <c r="I215" s="11">
        <f>+'22'!C5</f>
        <v>0</v>
      </c>
      <c r="J215" s="11">
        <f>+'22'!D5</f>
        <v>0</v>
      </c>
      <c r="K215" s="13">
        <f>+'22'!E5</f>
        <v>0</v>
      </c>
      <c r="M215" s="10">
        <f>+'18'!D1</f>
        <v>46160</v>
      </c>
      <c r="N215" s="11" t="str">
        <f>+'18'!A31</f>
        <v/>
      </c>
      <c r="O215" s="11">
        <f>+'18'!B31</f>
        <v>0</v>
      </c>
      <c r="P215" s="11">
        <f>+'18'!C31</f>
        <v>0</v>
      </c>
      <c r="Q215" s="11">
        <f>+'18'!D31</f>
        <v>0</v>
      </c>
      <c r="R215" s="13">
        <f>+'18'!E31</f>
        <v>0</v>
      </c>
      <c r="T215" s="10">
        <f>+'11'!D1</f>
        <v>46153</v>
      </c>
      <c r="U215" s="56" t="str">
        <f>+'11'!A48</f>
        <v/>
      </c>
      <c r="V215" s="56">
        <f>+'11'!B48</f>
        <v>0</v>
      </c>
      <c r="W215" s="56">
        <f>+'11'!C48</f>
        <v>0</v>
      </c>
      <c r="X215" s="56">
        <f>+'11'!D48</f>
        <v>0</v>
      </c>
      <c r="Y215" s="61">
        <f>+'11'!E48</f>
        <v>0</v>
      </c>
      <c r="AB215" s="56"/>
      <c r="AC215" s="62"/>
    </row>
    <row r="216" spans="6:29">
      <c r="F216" s="10">
        <f>+'22'!D1</f>
        <v>46164</v>
      </c>
      <c r="G216" s="11" t="str">
        <f>+'22'!A6</f>
        <v/>
      </c>
      <c r="H216" s="11">
        <f>+'22'!B6</f>
        <v>0</v>
      </c>
      <c r="I216" s="11">
        <f>+'22'!C6</f>
        <v>0</v>
      </c>
      <c r="J216" s="11">
        <f>+'22'!D6</f>
        <v>0</v>
      </c>
      <c r="K216" s="13">
        <f>+'22'!E6</f>
        <v>0</v>
      </c>
      <c r="M216" s="10">
        <f>+'18'!D1</f>
        <v>46160</v>
      </c>
      <c r="N216" s="11" t="str">
        <f>+'18'!A32</f>
        <v/>
      </c>
      <c r="O216" s="11">
        <f>+'18'!B32</f>
        <v>0</v>
      </c>
      <c r="P216" s="11">
        <f>+'18'!C32</f>
        <v>0</v>
      </c>
      <c r="Q216" s="11">
        <f>+'18'!D32</f>
        <v>0</v>
      </c>
      <c r="R216" s="13">
        <f>+'18'!E32</f>
        <v>0</v>
      </c>
      <c r="T216" s="10">
        <f>+'11'!D1</f>
        <v>46153</v>
      </c>
      <c r="U216" s="56" t="str">
        <f>+'11'!A49</f>
        <v/>
      </c>
      <c r="V216" s="56">
        <f>+'11'!B49</f>
        <v>0</v>
      </c>
      <c r="W216" s="56">
        <f>+'11'!C49</f>
        <v>0</v>
      </c>
      <c r="X216" s="56">
        <f>+'11'!D49</f>
        <v>0</v>
      </c>
      <c r="Y216" s="61">
        <f>+'11'!E49</f>
        <v>0</v>
      </c>
      <c r="AB216" s="56"/>
      <c r="AC216" s="62"/>
    </row>
    <row r="217" spans="6:29">
      <c r="F217" s="10">
        <f>+'22'!D1</f>
        <v>46164</v>
      </c>
      <c r="G217" s="11" t="str">
        <f>+'22'!A7</f>
        <v/>
      </c>
      <c r="H217" s="11">
        <f>+'22'!B7</f>
        <v>0</v>
      </c>
      <c r="I217" s="11">
        <f>+'22'!C7</f>
        <v>0</v>
      </c>
      <c r="J217" s="11">
        <f>+'22'!D7</f>
        <v>0</v>
      </c>
      <c r="K217" s="13">
        <f>+'22'!E7</f>
        <v>0</v>
      </c>
      <c r="M217" s="10">
        <f>+'18'!D1</f>
        <v>46160</v>
      </c>
      <c r="N217" s="11" t="str">
        <f>+'18'!A33</f>
        <v/>
      </c>
      <c r="O217" s="11">
        <f>+'18'!B33</f>
        <v>0</v>
      </c>
      <c r="P217" s="11">
        <f>+'18'!C33</f>
        <v>0</v>
      </c>
      <c r="Q217" s="11">
        <f>+'18'!D33</f>
        <v>0</v>
      </c>
      <c r="R217" s="13">
        <f>+'18'!E33</f>
        <v>0</v>
      </c>
      <c r="T217" s="10">
        <f>+'11'!D1</f>
        <v>46153</v>
      </c>
      <c r="U217" s="56" t="str">
        <f>+'11'!A50</f>
        <v/>
      </c>
      <c r="V217" s="56">
        <f>+'11'!B50</f>
        <v>0</v>
      </c>
      <c r="W217" s="56">
        <f>+'11'!C50</f>
        <v>0</v>
      </c>
      <c r="X217" s="56">
        <f>+'11'!D50</f>
        <v>0</v>
      </c>
      <c r="Y217" s="61">
        <f>+'11'!E50</f>
        <v>0</v>
      </c>
      <c r="AB217" s="56"/>
      <c r="AC217" s="62"/>
    </row>
    <row r="218" spans="6:29">
      <c r="F218" s="10">
        <f>+'22'!D1</f>
        <v>46164</v>
      </c>
      <c r="G218" s="11" t="str">
        <f>+'22'!A8</f>
        <v/>
      </c>
      <c r="H218" s="11">
        <f>+'22'!B8</f>
        <v>0</v>
      </c>
      <c r="I218" s="11">
        <f>+'22'!C8</f>
        <v>0</v>
      </c>
      <c r="J218" s="11">
        <f>+'22'!D8</f>
        <v>0</v>
      </c>
      <c r="K218" s="13">
        <f>+'22'!E8</f>
        <v>0</v>
      </c>
      <c r="M218" s="10">
        <f>+'18'!D1</f>
        <v>46160</v>
      </c>
      <c r="N218" s="11" t="str">
        <f>+'18'!A34</f>
        <v/>
      </c>
      <c r="O218" s="11">
        <f>+'18'!B34</f>
        <v>0</v>
      </c>
      <c r="P218" s="11">
        <f>+'18'!C34</f>
        <v>0</v>
      </c>
      <c r="Q218" s="11">
        <f>+'18'!D34</f>
        <v>0</v>
      </c>
      <c r="R218" s="13">
        <f>+'18'!E34</f>
        <v>0</v>
      </c>
      <c r="T218" s="10">
        <f>+'11'!D1</f>
        <v>46153</v>
      </c>
      <c r="U218" s="56" t="str">
        <f>+'11'!A51</f>
        <v/>
      </c>
      <c r="V218" s="56">
        <f>+'11'!B51</f>
        <v>0</v>
      </c>
      <c r="W218" s="56">
        <f>+'11'!C51</f>
        <v>0</v>
      </c>
      <c r="X218" s="56">
        <f>+'11'!D51</f>
        <v>0</v>
      </c>
      <c r="Y218" s="61">
        <f>+'11'!E51</f>
        <v>0</v>
      </c>
      <c r="AB218" s="56"/>
      <c r="AC218" s="62"/>
    </row>
    <row r="219" spans="6:29">
      <c r="F219" s="10">
        <f>+'22'!D1</f>
        <v>46164</v>
      </c>
      <c r="G219" s="11" t="str">
        <f>+'22'!A9</f>
        <v/>
      </c>
      <c r="H219" s="11">
        <f>+'22'!B9</f>
        <v>0</v>
      </c>
      <c r="I219" s="11">
        <f>+'22'!C9</f>
        <v>0</v>
      </c>
      <c r="J219" s="11" t="str">
        <f>+'22'!D9</f>
        <v> </v>
      </c>
      <c r="K219" s="13">
        <f>+'22'!E9</f>
        <v>0</v>
      </c>
      <c r="M219" s="10">
        <f>+'19'!D1</f>
        <v>46161</v>
      </c>
      <c r="N219" s="11" t="str">
        <f>+'19'!A23</f>
        <v/>
      </c>
      <c r="O219" s="11">
        <f>+'19'!B23</f>
        <v>0</v>
      </c>
      <c r="P219" s="11">
        <f>+'19'!C23</f>
        <v>0</v>
      </c>
      <c r="Q219" s="11">
        <f>+'19'!D23</f>
        <v>0</v>
      </c>
      <c r="R219" s="13">
        <f>+'19'!E23</f>
        <v>0</v>
      </c>
      <c r="T219" s="10">
        <f>+'11'!D1</f>
        <v>46153</v>
      </c>
      <c r="U219" s="56" t="str">
        <f>+'11'!A52</f>
        <v/>
      </c>
      <c r="V219" s="56">
        <f>+'11'!B52</f>
        <v>0</v>
      </c>
      <c r="W219" s="56">
        <f>+'11'!C52</f>
        <v>0</v>
      </c>
      <c r="X219" s="56">
        <f>+'11'!D52</f>
        <v>0</v>
      </c>
      <c r="Y219" s="61">
        <f>+'11'!E52</f>
        <v>0</v>
      </c>
      <c r="AB219" s="56"/>
      <c r="AC219" s="62"/>
    </row>
    <row r="220" spans="6:29">
      <c r="F220" s="10">
        <f>+'22'!D1</f>
        <v>46164</v>
      </c>
      <c r="G220" s="11" t="str">
        <f>+'22'!A10</f>
        <v/>
      </c>
      <c r="H220" s="11">
        <f>+'22'!B10</f>
        <v>0</v>
      </c>
      <c r="I220" s="11">
        <f>+'22'!C10</f>
        <v>0</v>
      </c>
      <c r="J220" s="11">
        <f>+'22'!D10</f>
        <v>0</v>
      </c>
      <c r="K220" s="13">
        <f>+'22'!E10</f>
        <v>0</v>
      </c>
      <c r="M220" s="10">
        <f>+'19'!D1</f>
        <v>46161</v>
      </c>
      <c r="N220" s="11" t="str">
        <f>+'19'!A24</f>
        <v/>
      </c>
      <c r="O220" s="11">
        <f>+'19'!B24</f>
        <v>0</v>
      </c>
      <c r="P220" s="11">
        <f>+'19'!C24</f>
        <v>0</v>
      </c>
      <c r="Q220" s="11">
        <f>+'19'!D24</f>
        <v>0</v>
      </c>
      <c r="R220" s="13">
        <f>+'19'!E24</f>
        <v>0</v>
      </c>
      <c r="T220" s="10">
        <f>+'11'!D1</f>
        <v>46153</v>
      </c>
      <c r="U220" s="56" t="str">
        <f>+'11'!A53</f>
        <v/>
      </c>
      <c r="V220" s="56">
        <f>+'11'!B53</f>
        <v>0</v>
      </c>
      <c r="W220" s="56">
        <f>+'11'!C53</f>
        <v>0</v>
      </c>
      <c r="X220" s="56">
        <f>+'11'!D53</f>
        <v>0</v>
      </c>
      <c r="Y220" s="61">
        <f>+'11'!E53</f>
        <v>0</v>
      </c>
      <c r="AB220" s="56"/>
      <c r="AC220" s="62"/>
    </row>
    <row r="221" spans="6:29">
      <c r="F221" s="10">
        <f>+'22'!D1</f>
        <v>46164</v>
      </c>
      <c r="G221" s="11" t="str">
        <f>+'22'!A11</f>
        <v/>
      </c>
      <c r="H221" s="11">
        <f>+'22'!B11</f>
        <v>0</v>
      </c>
      <c r="I221" s="11">
        <f>+'22'!C11</f>
        <v>0</v>
      </c>
      <c r="J221" s="11">
        <f>+'22'!D11</f>
        <v>0</v>
      </c>
      <c r="K221" s="13">
        <f>+'22'!E11</f>
        <v>0</v>
      </c>
      <c r="M221" s="10">
        <f>+'19'!D1</f>
        <v>46161</v>
      </c>
      <c r="N221" s="11" t="str">
        <f>+'19'!A25</f>
        <v/>
      </c>
      <c r="O221" s="11">
        <f>+'19'!B25</f>
        <v>0</v>
      </c>
      <c r="P221" s="11">
        <f>+'19'!C25</f>
        <v>0</v>
      </c>
      <c r="Q221" s="11">
        <f>+'19'!D25</f>
        <v>0</v>
      </c>
      <c r="R221" s="13">
        <f>+'19'!E25</f>
        <v>0</v>
      </c>
      <c r="T221" s="10">
        <f>+'11'!D1</f>
        <v>46153</v>
      </c>
      <c r="U221" s="56" t="str">
        <f>+'11'!A54</f>
        <v/>
      </c>
      <c r="V221" s="56">
        <f>+'11'!B54</f>
        <v>0</v>
      </c>
      <c r="W221" s="56">
        <f>+'11'!C54</f>
        <v>0</v>
      </c>
      <c r="X221" s="56">
        <f>+'11'!D54</f>
        <v>0</v>
      </c>
      <c r="Y221" s="61">
        <f>+'11'!E54</f>
        <v>0</v>
      </c>
      <c r="AB221" s="56"/>
      <c r="AC221" s="62"/>
    </row>
    <row r="222" spans="6:29">
      <c r="F222" s="10">
        <f>+'22'!D1</f>
        <v>46164</v>
      </c>
      <c r="G222" s="11" t="str">
        <f>+'22'!A12</f>
        <v/>
      </c>
      <c r="H222" s="11">
        <f>+'22'!B12</f>
        <v>0</v>
      </c>
      <c r="I222" s="11">
        <f>+'22'!C12</f>
        <v>0</v>
      </c>
      <c r="J222" s="11">
        <f>+'22'!D12</f>
        <v>0</v>
      </c>
      <c r="K222" s="13">
        <f>+'22'!E12</f>
        <v>0</v>
      </c>
      <c r="M222" s="10">
        <f>+'19'!D1</f>
        <v>46161</v>
      </c>
      <c r="N222" s="11" t="str">
        <f>+'19'!A26</f>
        <v/>
      </c>
      <c r="O222" s="11">
        <f>+'19'!B26</f>
        <v>0</v>
      </c>
      <c r="P222" s="11">
        <f>+'19'!C26</f>
        <v>0</v>
      </c>
      <c r="Q222" s="11">
        <f>+'19'!D26</f>
        <v>0</v>
      </c>
      <c r="R222" s="13">
        <f>+'19'!E26</f>
        <v>0</v>
      </c>
      <c r="T222" s="10">
        <f>+'11'!D1</f>
        <v>46153</v>
      </c>
      <c r="U222" s="56" t="str">
        <f>+'11'!A55</f>
        <v/>
      </c>
      <c r="V222" s="56">
        <f>+'11'!B55</f>
        <v>0</v>
      </c>
      <c r="W222" s="56">
        <f>+'11'!C55</f>
        <v>0</v>
      </c>
      <c r="X222" s="56">
        <f>+'11'!D55</f>
        <v>0</v>
      </c>
      <c r="Y222" s="61">
        <f>+'11'!E55</f>
        <v>0</v>
      </c>
      <c r="AB222" s="56"/>
      <c r="AC222" s="62"/>
    </row>
    <row r="223" spans="6:29">
      <c r="F223" s="10">
        <f>+'23'!D1</f>
        <v>46165</v>
      </c>
      <c r="G223" s="11" t="str">
        <f>+'23'!A3</f>
        <v/>
      </c>
      <c r="H223" s="11">
        <f>+'23'!B3</f>
        <v>0</v>
      </c>
      <c r="I223" s="11">
        <f>+'23'!C3</f>
        <v>0</v>
      </c>
      <c r="J223" s="11">
        <f>+'23'!D3</f>
        <v>0</v>
      </c>
      <c r="K223" s="13">
        <f>+'23'!E3</f>
        <v>0</v>
      </c>
      <c r="M223" s="10">
        <f>+'19'!D1</f>
        <v>46161</v>
      </c>
      <c r="N223" s="11" t="str">
        <f>+'19'!A27</f>
        <v/>
      </c>
      <c r="O223" s="11">
        <f>+'19'!B27</f>
        <v>0</v>
      </c>
      <c r="P223" s="11">
        <f>+'19'!C27</f>
        <v>0</v>
      </c>
      <c r="Q223" s="11">
        <f>+'19'!D27</f>
        <v>0</v>
      </c>
      <c r="R223" s="13">
        <f>+'19'!E27</f>
        <v>0</v>
      </c>
      <c r="T223" s="10">
        <f>+'12'!D1</f>
        <v>46154</v>
      </c>
      <c r="U223" s="56" t="str">
        <f>+'12'!A36</f>
        <v/>
      </c>
      <c r="V223" s="56">
        <f>+'12'!B36</f>
        <v>0</v>
      </c>
      <c r="W223" s="56">
        <f>+'12'!C36</f>
        <v>0</v>
      </c>
      <c r="X223" s="56">
        <f>+'12'!D36</f>
        <v>0</v>
      </c>
      <c r="Y223" s="61">
        <f>+'12'!E36</f>
        <v>0</v>
      </c>
      <c r="AB223" s="56"/>
      <c r="AC223" s="62"/>
    </row>
    <row r="224" spans="6:29">
      <c r="F224" s="10">
        <f>+'23'!D1</f>
        <v>46165</v>
      </c>
      <c r="G224" s="11" t="str">
        <f>+'23'!A4</f>
        <v/>
      </c>
      <c r="H224" s="11">
        <f>+'23'!B4</f>
        <v>0</v>
      </c>
      <c r="I224" s="11">
        <f>+'23'!C4</f>
        <v>0</v>
      </c>
      <c r="J224" s="11">
        <f>+'23'!D4</f>
        <v>0</v>
      </c>
      <c r="K224" s="13">
        <f>+'23'!E4</f>
        <v>0</v>
      </c>
      <c r="M224" s="10">
        <f>+'19'!D1</f>
        <v>46161</v>
      </c>
      <c r="N224" s="11" t="str">
        <f>+'19'!A28</f>
        <v/>
      </c>
      <c r="O224" s="11">
        <f>+'19'!B28</f>
        <v>0</v>
      </c>
      <c r="P224" s="11">
        <f>+'19'!C28</f>
        <v>0</v>
      </c>
      <c r="Q224" s="11">
        <f>+'19'!D28</f>
        <v>0</v>
      </c>
      <c r="R224" s="13">
        <f>+'19'!E28</f>
        <v>0</v>
      </c>
      <c r="T224" s="10">
        <f>+'12'!D1</f>
        <v>46154</v>
      </c>
      <c r="U224" s="56" t="str">
        <f>+'12'!A37</f>
        <v/>
      </c>
      <c r="V224" s="56">
        <f>+'12'!B37</f>
        <v>0</v>
      </c>
      <c r="W224" s="56">
        <f>+'12'!C37</f>
        <v>0</v>
      </c>
      <c r="X224" s="56">
        <f>+'12'!D37</f>
        <v>0</v>
      </c>
      <c r="Y224" s="61">
        <f>+'12'!E37</f>
        <v>0</v>
      </c>
      <c r="AB224" s="56"/>
      <c r="AC224" s="62"/>
    </row>
    <row r="225" spans="6:29">
      <c r="F225" s="10">
        <f>+'23'!D1</f>
        <v>46165</v>
      </c>
      <c r="G225" s="11" t="str">
        <f>+'23'!A5</f>
        <v/>
      </c>
      <c r="H225" s="11">
        <f>+'23'!B5</f>
        <v>0</v>
      </c>
      <c r="I225" s="11">
        <f>+'23'!C5</f>
        <v>0</v>
      </c>
      <c r="J225" s="11">
        <f>+'23'!D5</f>
        <v>0</v>
      </c>
      <c r="K225" s="13">
        <f>+'23'!E5</f>
        <v>0</v>
      </c>
      <c r="M225" s="10">
        <f>+'19'!D1</f>
        <v>46161</v>
      </c>
      <c r="N225" s="11" t="str">
        <f>+'19'!A29</f>
        <v/>
      </c>
      <c r="O225" s="11">
        <f>+'19'!B29</f>
        <v>0</v>
      </c>
      <c r="P225" s="11">
        <f>+'19'!C29</f>
        <v>0</v>
      </c>
      <c r="Q225" s="11">
        <f>+'19'!D29</f>
        <v>0</v>
      </c>
      <c r="R225" s="13">
        <f>+'19'!E29</f>
        <v>0</v>
      </c>
      <c r="T225" s="10">
        <f>+'12'!D1</f>
        <v>46154</v>
      </c>
      <c r="U225" s="56" t="str">
        <f>+'12'!A38</f>
        <v/>
      </c>
      <c r="V225" s="56">
        <f>+'12'!B38</f>
        <v>0</v>
      </c>
      <c r="W225" s="56">
        <f>+'12'!C38</f>
        <v>0</v>
      </c>
      <c r="X225" s="56">
        <f>+'12'!D38</f>
        <v>0</v>
      </c>
      <c r="Y225" s="61">
        <f>+'12'!E38</f>
        <v>0</v>
      </c>
      <c r="AB225" s="56"/>
      <c r="AC225" s="62"/>
    </row>
    <row r="226" spans="6:29">
      <c r="F226" s="10">
        <f>+'23'!D1</f>
        <v>46165</v>
      </c>
      <c r="G226" s="11" t="str">
        <f>+'23'!A6</f>
        <v/>
      </c>
      <c r="H226" s="11">
        <f>+'23'!B6</f>
        <v>0</v>
      </c>
      <c r="I226" s="11">
        <f>+'23'!C6</f>
        <v>0</v>
      </c>
      <c r="J226" s="11">
        <f>+'23'!D6</f>
        <v>0</v>
      </c>
      <c r="K226" s="13">
        <f>+'23'!E6</f>
        <v>0</v>
      </c>
      <c r="M226" s="10">
        <f>+'19'!D1</f>
        <v>46161</v>
      </c>
      <c r="N226" s="11" t="str">
        <f>+'19'!A30</f>
        <v/>
      </c>
      <c r="O226" s="11">
        <f>+'19'!B30</f>
        <v>0</v>
      </c>
      <c r="P226" s="11">
        <f>+'19'!C30</f>
        <v>0</v>
      </c>
      <c r="Q226" s="11">
        <f>+'19'!D30</f>
        <v>0</v>
      </c>
      <c r="R226" s="13">
        <f>+'19'!E30</f>
        <v>0</v>
      </c>
      <c r="T226" s="10">
        <f>+'12'!D1</f>
        <v>46154</v>
      </c>
      <c r="U226" s="56" t="str">
        <f>+'12'!A39</f>
        <v/>
      </c>
      <c r="V226" s="56">
        <f>+'12'!B39</f>
        <v>0</v>
      </c>
      <c r="W226" s="56">
        <f>+'12'!C39</f>
        <v>0</v>
      </c>
      <c r="X226" s="56">
        <f>+'12'!D39</f>
        <v>0</v>
      </c>
      <c r="Y226" s="61">
        <f>+'12'!E39</f>
        <v>0</v>
      </c>
      <c r="AB226" s="56"/>
      <c r="AC226" s="62"/>
    </row>
    <row r="227" spans="6:29">
      <c r="F227" s="10">
        <f>+'23'!D1</f>
        <v>46165</v>
      </c>
      <c r="G227" s="11" t="str">
        <f>+'23'!A7</f>
        <v/>
      </c>
      <c r="H227" s="11">
        <f>+'23'!B7</f>
        <v>0</v>
      </c>
      <c r="I227" s="11">
        <f>+'23'!C7</f>
        <v>0</v>
      </c>
      <c r="J227" s="11">
        <f>+'23'!D7</f>
        <v>0</v>
      </c>
      <c r="K227" s="13">
        <f>+'23'!E7</f>
        <v>0</v>
      </c>
      <c r="M227" s="10">
        <f>+'19'!D1</f>
        <v>46161</v>
      </c>
      <c r="N227" s="11" t="str">
        <f>+'19'!A31</f>
        <v/>
      </c>
      <c r="O227" s="11">
        <f>+'19'!B31</f>
        <v>0</v>
      </c>
      <c r="P227" s="11">
        <f>+'19'!C31</f>
        <v>0</v>
      </c>
      <c r="Q227" s="11">
        <f>+'19'!D31</f>
        <v>0</v>
      </c>
      <c r="R227" s="13">
        <f>+'19'!E31</f>
        <v>0</v>
      </c>
      <c r="T227" s="10">
        <f>+'12'!D1</f>
        <v>46154</v>
      </c>
      <c r="U227" s="56" t="str">
        <f>+'12'!A40</f>
        <v/>
      </c>
      <c r="V227" s="56">
        <f>+'12'!B40</f>
        <v>0</v>
      </c>
      <c r="W227" s="56">
        <f>+'12'!C40</f>
        <v>0</v>
      </c>
      <c r="X227" s="56">
        <f>+'12'!D40</f>
        <v>0</v>
      </c>
      <c r="Y227" s="61">
        <f>+'12'!E40</f>
        <v>0</v>
      </c>
      <c r="AB227" s="56"/>
      <c r="AC227" s="62"/>
    </row>
    <row r="228" spans="6:29">
      <c r="F228" s="10">
        <f>+'23'!D1</f>
        <v>46165</v>
      </c>
      <c r="G228" s="11" t="str">
        <f>+'23'!A8</f>
        <v/>
      </c>
      <c r="H228" s="11">
        <f>+'23'!B8</f>
        <v>0</v>
      </c>
      <c r="I228" s="11">
        <f>+'23'!C8</f>
        <v>0</v>
      </c>
      <c r="J228" s="11">
        <f>+'23'!D8</f>
        <v>0</v>
      </c>
      <c r="K228" s="13">
        <f>+'23'!E8</f>
        <v>0</v>
      </c>
      <c r="M228" s="10">
        <f>+'19'!D1</f>
        <v>46161</v>
      </c>
      <c r="N228" s="11" t="str">
        <f>+'19'!A32</f>
        <v/>
      </c>
      <c r="O228" s="11">
        <f>+'19'!B32</f>
        <v>0</v>
      </c>
      <c r="P228" s="11">
        <f>+'19'!C32</f>
        <v>0</v>
      </c>
      <c r="Q228" s="11">
        <f>+'19'!D32</f>
        <v>0</v>
      </c>
      <c r="R228" s="13">
        <f>+'19'!E32</f>
        <v>0</v>
      </c>
      <c r="T228" s="10">
        <f>+'12'!D1</f>
        <v>46154</v>
      </c>
      <c r="U228" s="56" t="str">
        <f>+'12'!A41</f>
        <v/>
      </c>
      <c r="V228" s="56">
        <f>+'12'!B41</f>
        <v>0</v>
      </c>
      <c r="W228" s="56">
        <f>+'12'!C41</f>
        <v>0</v>
      </c>
      <c r="X228" s="56">
        <f>+'12'!D41</f>
        <v>0</v>
      </c>
      <c r="Y228" s="61">
        <f>+'12'!E41</f>
        <v>0</v>
      </c>
      <c r="AB228" s="56"/>
      <c r="AC228" s="62"/>
    </row>
    <row r="229" spans="6:29">
      <c r="F229" s="10">
        <f>+'23'!D1</f>
        <v>46165</v>
      </c>
      <c r="G229" s="11" t="str">
        <f>+'23'!A9</f>
        <v/>
      </c>
      <c r="H229" s="11">
        <f>+'23'!B9</f>
        <v>0</v>
      </c>
      <c r="I229" s="11">
        <f>+'23'!C9</f>
        <v>0</v>
      </c>
      <c r="J229" s="11" t="str">
        <f>+'23'!D9</f>
        <v> </v>
      </c>
      <c r="K229" s="13">
        <f>+'23'!E9</f>
        <v>0</v>
      </c>
      <c r="M229" s="10">
        <f>+'19'!D1</f>
        <v>46161</v>
      </c>
      <c r="N229" s="11" t="str">
        <f>+'19'!A33</f>
        <v/>
      </c>
      <c r="O229" s="11">
        <f>+'19'!B33</f>
        <v>0</v>
      </c>
      <c r="P229" s="11">
        <f>+'19'!C33</f>
        <v>0</v>
      </c>
      <c r="Q229" s="11">
        <f>+'19'!D33</f>
        <v>0</v>
      </c>
      <c r="R229" s="13">
        <f>+'19'!E33</f>
        <v>0</v>
      </c>
      <c r="T229" s="10">
        <f>+'12'!D1</f>
        <v>46154</v>
      </c>
      <c r="U229" s="56" t="str">
        <f>+'12'!A42</f>
        <v/>
      </c>
      <c r="V229" s="56">
        <f>+'12'!B42</f>
        <v>0</v>
      </c>
      <c r="W229" s="56">
        <f>+'12'!C42</f>
        <v>0</v>
      </c>
      <c r="X229" s="56">
        <f>+'12'!D42</f>
        <v>0</v>
      </c>
      <c r="Y229" s="61">
        <f>+'12'!E42</f>
        <v>0</v>
      </c>
      <c r="AB229" s="56"/>
      <c r="AC229" s="62"/>
    </row>
    <row r="230" spans="6:29">
      <c r="F230" s="10">
        <f>+'23'!D1</f>
        <v>46165</v>
      </c>
      <c r="G230" s="11" t="str">
        <f>+'23'!A10</f>
        <v/>
      </c>
      <c r="H230" s="11">
        <f>+'23'!B10</f>
        <v>0</v>
      </c>
      <c r="I230" s="11">
        <f>+'23'!C10</f>
        <v>0</v>
      </c>
      <c r="J230" s="11">
        <f>+'23'!D10</f>
        <v>0</v>
      </c>
      <c r="K230" s="13">
        <f>+'23'!E10</f>
        <v>0</v>
      </c>
      <c r="M230" s="10">
        <f>+'19'!D1</f>
        <v>46161</v>
      </c>
      <c r="N230" s="11" t="str">
        <f>+'19'!A34</f>
        <v/>
      </c>
      <c r="O230" s="11">
        <f>+'19'!B34</f>
        <v>0</v>
      </c>
      <c r="P230" s="11">
        <f>+'19'!C34</f>
        <v>0</v>
      </c>
      <c r="Q230" s="11">
        <f>+'19'!D34</f>
        <v>0</v>
      </c>
      <c r="R230" s="13">
        <f>+'19'!E34</f>
        <v>0</v>
      </c>
      <c r="T230" s="10">
        <f>+'12'!D1</f>
        <v>46154</v>
      </c>
      <c r="U230" s="56" t="str">
        <f>+'12'!A43</f>
        <v/>
      </c>
      <c r="V230" s="56">
        <f>+'12'!B43</f>
        <v>0</v>
      </c>
      <c r="W230" s="56">
        <f>+'12'!C43</f>
        <v>0</v>
      </c>
      <c r="X230" s="56">
        <f>+'12'!D43</f>
        <v>0</v>
      </c>
      <c r="Y230" s="61">
        <f>+'12'!E43</f>
        <v>0</v>
      </c>
      <c r="AB230" s="56"/>
      <c r="AC230" s="62"/>
    </row>
    <row r="231" spans="6:29">
      <c r="F231" s="10">
        <f>+'23'!D1</f>
        <v>46165</v>
      </c>
      <c r="G231" s="11" t="str">
        <f>+'23'!A11</f>
        <v/>
      </c>
      <c r="H231" s="11">
        <f>+'23'!B11</f>
        <v>0</v>
      </c>
      <c r="I231" s="11">
        <f>+'23'!C11</f>
        <v>0</v>
      </c>
      <c r="J231" s="11">
        <f>+'23'!D11</f>
        <v>0</v>
      </c>
      <c r="K231" s="13">
        <f>+'23'!E11</f>
        <v>0</v>
      </c>
      <c r="M231" s="10">
        <f>+'20'!D1</f>
        <v>46162</v>
      </c>
      <c r="N231" s="11" t="str">
        <f>+'20'!A23</f>
        <v/>
      </c>
      <c r="O231" s="11">
        <f>+'20'!B23</f>
        <v>0</v>
      </c>
      <c r="P231" s="11">
        <f>+'20'!C23</f>
        <v>0</v>
      </c>
      <c r="Q231" s="11">
        <f>+'20'!D23</f>
        <v>0</v>
      </c>
      <c r="R231" s="13">
        <f>+'20'!E23</f>
        <v>0</v>
      </c>
      <c r="T231" s="10">
        <f>+'12'!D1</f>
        <v>46154</v>
      </c>
      <c r="U231" s="56" t="str">
        <f>+'12'!A44</f>
        <v/>
      </c>
      <c r="V231" s="56">
        <f>+'12'!B44</f>
        <v>0</v>
      </c>
      <c r="W231" s="56">
        <f>+'12'!C44</f>
        <v>0</v>
      </c>
      <c r="X231" s="56">
        <f>+'12'!D44</f>
        <v>0</v>
      </c>
      <c r="Y231" s="61">
        <f>+'12'!E44</f>
        <v>0</v>
      </c>
      <c r="AB231" s="56"/>
      <c r="AC231" s="62"/>
    </row>
    <row r="232" spans="6:29">
      <c r="F232" s="10">
        <f>+'23'!D1</f>
        <v>46165</v>
      </c>
      <c r="G232" s="11" t="str">
        <f>+'23'!A12</f>
        <v/>
      </c>
      <c r="H232" s="11">
        <f>+'23'!B12</f>
        <v>0</v>
      </c>
      <c r="I232" s="11">
        <f>+'23'!C12</f>
        <v>0</v>
      </c>
      <c r="J232" s="11">
        <f>+'23'!D12</f>
        <v>0</v>
      </c>
      <c r="K232" s="13">
        <f>+'23'!E12</f>
        <v>0</v>
      </c>
      <c r="M232" s="10">
        <f>+'20'!D1</f>
        <v>46162</v>
      </c>
      <c r="N232" s="11" t="str">
        <f>+'20'!A24</f>
        <v/>
      </c>
      <c r="O232" s="11">
        <f>+'20'!B24</f>
        <v>0</v>
      </c>
      <c r="P232" s="11">
        <f>+'20'!C24</f>
        <v>0</v>
      </c>
      <c r="Q232" s="11">
        <f>+'20'!D24</f>
        <v>0</v>
      </c>
      <c r="R232" s="13">
        <f>+'20'!E24</f>
        <v>0</v>
      </c>
      <c r="T232" s="10">
        <f>+'12'!D1</f>
        <v>46154</v>
      </c>
      <c r="U232" s="56" t="str">
        <f>+'12'!A45</f>
        <v/>
      </c>
      <c r="V232" s="56">
        <f>+'12'!B45</f>
        <v>0</v>
      </c>
      <c r="W232" s="56">
        <f>+'12'!C45</f>
        <v>0</v>
      </c>
      <c r="X232" s="56">
        <f>+'12'!D45</f>
        <v>0</v>
      </c>
      <c r="Y232" s="61">
        <f>+'12'!E45</f>
        <v>0</v>
      </c>
      <c r="AB232" s="56"/>
      <c r="AC232" s="62"/>
    </row>
    <row r="233" spans="6:29">
      <c r="F233" s="10">
        <f>+'24'!D1</f>
        <v>46166</v>
      </c>
      <c r="G233" s="11" t="str">
        <f>+'24'!A3</f>
        <v/>
      </c>
      <c r="H233" s="11">
        <f>+'24'!B3</f>
        <v>0</v>
      </c>
      <c r="I233" s="11">
        <f>+'24'!C3</f>
        <v>0</v>
      </c>
      <c r="J233" s="11">
        <f>+'24'!D3</f>
        <v>0</v>
      </c>
      <c r="K233" s="13">
        <f>+'24'!E3</f>
        <v>0</v>
      </c>
      <c r="M233" s="10">
        <f>+'20'!D1</f>
        <v>46162</v>
      </c>
      <c r="N233" s="11" t="str">
        <f>+'20'!A25</f>
        <v/>
      </c>
      <c r="O233" s="11">
        <f>+'20'!B25</f>
        <v>0</v>
      </c>
      <c r="P233" s="11">
        <f>+'20'!C25</f>
        <v>0</v>
      </c>
      <c r="Q233" s="11">
        <f>+'20'!D25</f>
        <v>0</v>
      </c>
      <c r="R233" s="13">
        <f>+'20'!E25</f>
        <v>0</v>
      </c>
      <c r="T233" s="10">
        <f>+'12'!D1</f>
        <v>46154</v>
      </c>
      <c r="U233" s="56" t="str">
        <f>+'12'!A46</f>
        <v/>
      </c>
      <c r="V233" s="56">
        <f>+'12'!B46</f>
        <v>0</v>
      </c>
      <c r="W233" s="56">
        <f>+'12'!C46</f>
        <v>0</v>
      </c>
      <c r="X233" s="56">
        <f>+'12'!D46</f>
        <v>0</v>
      </c>
      <c r="Y233" s="61">
        <f>+'12'!E46</f>
        <v>0</v>
      </c>
      <c r="AB233" s="56"/>
      <c r="AC233" s="62"/>
    </row>
    <row r="234" spans="6:29">
      <c r="F234" s="10">
        <f>+'24'!D1</f>
        <v>46166</v>
      </c>
      <c r="G234" s="11" t="str">
        <f>+'24'!A4</f>
        <v/>
      </c>
      <c r="H234" s="11">
        <f>+'24'!B4</f>
        <v>0</v>
      </c>
      <c r="I234" s="11">
        <f>+'24'!C4</f>
        <v>0</v>
      </c>
      <c r="J234" s="11">
        <f>+'24'!D4</f>
        <v>0</v>
      </c>
      <c r="K234" s="13">
        <f>+'24'!E4</f>
        <v>0</v>
      </c>
      <c r="M234" s="10">
        <f>+'20'!D1</f>
        <v>46162</v>
      </c>
      <c r="N234" s="11" t="str">
        <f>+'20'!A26</f>
        <v/>
      </c>
      <c r="O234" s="11">
        <f>+'20'!B26</f>
        <v>0</v>
      </c>
      <c r="P234" s="11">
        <f>+'20'!C26</f>
        <v>0</v>
      </c>
      <c r="Q234" s="11">
        <f>+'20'!D26</f>
        <v>0</v>
      </c>
      <c r="R234" s="13">
        <f>+'20'!E26</f>
        <v>0</v>
      </c>
      <c r="T234" s="10">
        <f>+'12'!D1</f>
        <v>46154</v>
      </c>
      <c r="U234" s="56" t="str">
        <f>+'12'!A47</f>
        <v/>
      </c>
      <c r="V234" s="56">
        <f>+'12'!B47</f>
        <v>0</v>
      </c>
      <c r="W234" s="56">
        <f>+'12'!C47</f>
        <v>0</v>
      </c>
      <c r="X234" s="56">
        <f>+'12'!D47</f>
        <v>0</v>
      </c>
      <c r="Y234" s="61">
        <f>+'12'!E47</f>
        <v>0</v>
      </c>
      <c r="AB234" s="56"/>
      <c r="AC234" s="62"/>
    </row>
    <row r="235" spans="6:29">
      <c r="F235" s="10">
        <f>+'24'!D1</f>
        <v>46166</v>
      </c>
      <c r="G235" s="11" t="str">
        <f>+'24'!A5</f>
        <v/>
      </c>
      <c r="H235" s="11">
        <f>+'24'!B5</f>
        <v>0</v>
      </c>
      <c r="I235" s="11">
        <f>+'24'!C5</f>
        <v>0</v>
      </c>
      <c r="J235" s="11">
        <f>+'24'!D5</f>
        <v>0</v>
      </c>
      <c r="K235" s="13">
        <f>+'24'!E5</f>
        <v>0</v>
      </c>
      <c r="M235" s="10">
        <f>+'20'!D1</f>
        <v>46162</v>
      </c>
      <c r="N235" s="11" t="str">
        <f>+'20'!A27</f>
        <v/>
      </c>
      <c r="O235" s="11">
        <f>+'20'!B27</f>
        <v>0</v>
      </c>
      <c r="P235" s="11">
        <f>+'20'!C27</f>
        <v>0</v>
      </c>
      <c r="Q235" s="11">
        <f>+'20'!D27</f>
        <v>0</v>
      </c>
      <c r="R235" s="13">
        <f>+'20'!E27</f>
        <v>0</v>
      </c>
      <c r="T235" s="10">
        <f>+'12'!D1</f>
        <v>46154</v>
      </c>
      <c r="U235" s="56" t="str">
        <f>+'12'!A48</f>
        <v/>
      </c>
      <c r="V235" s="56">
        <f>+'12'!B48</f>
        <v>0</v>
      </c>
      <c r="W235" s="56">
        <f>+'12'!C48</f>
        <v>0</v>
      </c>
      <c r="X235" s="56">
        <f>+'12'!D48</f>
        <v>0</v>
      </c>
      <c r="Y235" s="61">
        <f>+'12'!E48</f>
        <v>0</v>
      </c>
      <c r="AB235" s="56"/>
      <c r="AC235" s="62"/>
    </row>
    <row r="236" spans="6:29">
      <c r="F236" s="10">
        <f>+'24'!D1</f>
        <v>46166</v>
      </c>
      <c r="G236" s="11" t="str">
        <f>+'24'!A6</f>
        <v/>
      </c>
      <c r="H236" s="11">
        <f>+'24'!B6</f>
        <v>0</v>
      </c>
      <c r="I236" s="11">
        <f>+'24'!C6</f>
        <v>0</v>
      </c>
      <c r="J236" s="11">
        <f>+'24'!D6</f>
        <v>0</v>
      </c>
      <c r="K236" s="13">
        <f>+'24'!E6</f>
        <v>0</v>
      </c>
      <c r="M236" s="10">
        <f>+'20'!D1</f>
        <v>46162</v>
      </c>
      <c r="N236" s="11" t="str">
        <f>+'20'!A28</f>
        <v/>
      </c>
      <c r="O236" s="11">
        <f>+'20'!B28</f>
        <v>0</v>
      </c>
      <c r="P236" s="11">
        <f>+'20'!C28</f>
        <v>0</v>
      </c>
      <c r="Q236" s="11">
        <f>+'20'!D28</f>
        <v>0</v>
      </c>
      <c r="R236" s="13">
        <f>+'20'!E28</f>
        <v>0</v>
      </c>
      <c r="T236" s="10">
        <f>+'12'!D1</f>
        <v>46154</v>
      </c>
      <c r="U236" s="56" t="str">
        <f>+'12'!A49</f>
        <v/>
      </c>
      <c r="V236" s="56">
        <f>+'12'!B49</f>
        <v>0</v>
      </c>
      <c r="W236" s="56">
        <f>+'12'!C49</f>
        <v>0</v>
      </c>
      <c r="X236" s="56">
        <f>+'12'!D49</f>
        <v>0</v>
      </c>
      <c r="Y236" s="61">
        <f>+'12'!E49</f>
        <v>0</v>
      </c>
      <c r="AB236" s="56"/>
      <c r="AC236" s="62"/>
    </row>
    <row r="237" spans="6:29">
      <c r="F237" s="10">
        <f>+'24'!D1</f>
        <v>46166</v>
      </c>
      <c r="G237" s="11" t="str">
        <f>+'24'!A7</f>
        <v/>
      </c>
      <c r="H237" s="11">
        <f>+'24'!B7</f>
        <v>0</v>
      </c>
      <c r="I237" s="11">
        <f>+'24'!C7</f>
        <v>0</v>
      </c>
      <c r="J237" s="11">
        <f>+'24'!D7</f>
        <v>0</v>
      </c>
      <c r="K237" s="13">
        <f>+'24'!E7</f>
        <v>0</v>
      </c>
      <c r="M237" s="10">
        <f>+'20'!D1</f>
        <v>46162</v>
      </c>
      <c r="N237" s="11" t="str">
        <f>+'20'!A29</f>
        <v/>
      </c>
      <c r="O237" s="11">
        <f>+'20'!B29</f>
        <v>0</v>
      </c>
      <c r="P237" s="11">
        <f>+'20'!C29</f>
        <v>0</v>
      </c>
      <c r="Q237" s="11">
        <f>+'20'!D29</f>
        <v>0</v>
      </c>
      <c r="R237" s="13">
        <f>+'20'!E29</f>
        <v>0</v>
      </c>
      <c r="T237" s="10">
        <f>+'12'!D1</f>
        <v>46154</v>
      </c>
      <c r="U237" s="56" t="str">
        <f>+'12'!A50</f>
        <v/>
      </c>
      <c r="V237" s="56">
        <f>+'12'!B50</f>
        <v>0</v>
      </c>
      <c r="W237" s="56">
        <f>+'12'!C50</f>
        <v>0</v>
      </c>
      <c r="X237" s="56">
        <f>+'12'!D50</f>
        <v>0</v>
      </c>
      <c r="Y237" s="61">
        <f>+'12'!E50</f>
        <v>0</v>
      </c>
      <c r="AB237" s="56"/>
      <c r="AC237" s="62"/>
    </row>
    <row r="238" spans="6:29">
      <c r="F238" s="10">
        <f>+'24'!D1</f>
        <v>46166</v>
      </c>
      <c r="G238" s="11" t="str">
        <f>+'24'!A8</f>
        <v/>
      </c>
      <c r="H238" s="11">
        <f>+'24'!B8</f>
        <v>0</v>
      </c>
      <c r="I238" s="11">
        <f>+'24'!C8</f>
        <v>0</v>
      </c>
      <c r="J238" s="11">
        <f>+'24'!D8</f>
        <v>0</v>
      </c>
      <c r="K238" s="13">
        <f>+'24'!E8</f>
        <v>0</v>
      </c>
      <c r="M238" s="10">
        <f>+'20'!D1</f>
        <v>46162</v>
      </c>
      <c r="N238" s="11" t="str">
        <f>+'20'!A30</f>
        <v/>
      </c>
      <c r="O238" s="11">
        <f>+'20'!B30</f>
        <v>0</v>
      </c>
      <c r="P238" s="11">
        <f>+'20'!C30</f>
        <v>0</v>
      </c>
      <c r="Q238" s="11">
        <f>+'20'!D30</f>
        <v>0</v>
      </c>
      <c r="R238" s="13">
        <f>+'20'!E30</f>
        <v>0</v>
      </c>
      <c r="T238" s="10">
        <f>+'12'!D1</f>
        <v>46154</v>
      </c>
      <c r="U238" s="56" t="str">
        <f>+'12'!A51</f>
        <v/>
      </c>
      <c r="V238" s="56">
        <f>+'12'!B51</f>
        <v>0</v>
      </c>
      <c r="W238" s="56">
        <f>+'12'!C51</f>
        <v>0</v>
      </c>
      <c r="X238" s="56">
        <f>+'12'!D51</f>
        <v>0</v>
      </c>
      <c r="Y238" s="61">
        <f>+'12'!E51</f>
        <v>0</v>
      </c>
      <c r="AB238" s="56"/>
      <c r="AC238" s="62"/>
    </row>
    <row r="239" spans="6:29">
      <c r="F239" s="10">
        <f>+'24'!D1</f>
        <v>46166</v>
      </c>
      <c r="G239" s="11" t="str">
        <f>+'24'!A9</f>
        <v/>
      </c>
      <c r="H239" s="11">
        <f>+'24'!B9</f>
        <v>0</v>
      </c>
      <c r="I239" s="11">
        <f>+'24'!C9</f>
        <v>0</v>
      </c>
      <c r="J239" s="11" t="str">
        <f>+'24'!D9</f>
        <v> </v>
      </c>
      <c r="K239" s="13">
        <f>+'24'!E9</f>
        <v>0</v>
      </c>
      <c r="M239" s="10">
        <f>+'20'!D1</f>
        <v>46162</v>
      </c>
      <c r="N239" s="11" t="str">
        <f>+'20'!A31</f>
        <v/>
      </c>
      <c r="O239" s="11">
        <f>+'20'!B31</f>
        <v>0</v>
      </c>
      <c r="P239" s="11">
        <f>+'20'!C31</f>
        <v>0</v>
      </c>
      <c r="Q239" s="11">
        <f>+'20'!D31</f>
        <v>0</v>
      </c>
      <c r="R239" s="13">
        <f>+'20'!E31</f>
        <v>0</v>
      </c>
      <c r="T239" s="10">
        <f>+'12'!D1</f>
        <v>46154</v>
      </c>
      <c r="U239" s="56" t="str">
        <f>+'12'!A52</f>
        <v/>
      </c>
      <c r="V239" s="56">
        <f>+'12'!B52</f>
        <v>0</v>
      </c>
      <c r="W239" s="56">
        <f>+'12'!C52</f>
        <v>0</v>
      </c>
      <c r="X239" s="56">
        <f>+'12'!D52</f>
        <v>0</v>
      </c>
      <c r="Y239" s="61">
        <f>+'12'!E52</f>
        <v>0</v>
      </c>
      <c r="AB239" s="56"/>
      <c r="AC239" s="62"/>
    </row>
    <row r="240" spans="6:29">
      <c r="F240" s="10">
        <f>+'24'!D1</f>
        <v>46166</v>
      </c>
      <c r="G240" s="11" t="str">
        <f>+'24'!A10</f>
        <v/>
      </c>
      <c r="H240" s="11">
        <f>+'24'!B10</f>
        <v>0</v>
      </c>
      <c r="I240" s="11">
        <f>+'24'!C10</f>
        <v>0</v>
      </c>
      <c r="J240" s="11">
        <f>+'24'!D10</f>
        <v>0</v>
      </c>
      <c r="K240" s="13">
        <f>+'24'!E10</f>
        <v>0</v>
      </c>
      <c r="M240" s="10">
        <f>+'20'!D1</f>
        <v>46162</v>
      </c>
      <c r="N240" s="11" t="str">
        <f>+'20'!A32</f>
        <v/>
      </c>
      <c r="O240" s="11">
        <f>+'20'!B32</f>
        <v>0</v>
      </c>
      <c r="P240" s="11">
        <f>+'20'!C32</f>
        <v>0</v>
      </c>
      <c r="Q240" s="11">
        <f>+'20'!D32</f>
        <v>0</v>
      </c>
      <c r="R240" s="13">
        <f>+'20'!E32</f>
        <v>0</v>
      </c>
      <c r="T240" s="10">
        <f>+'12'!D1</f>
        <v>46154</v>
      </c>
      <c r="U240" s="56" t="str">
        <f>+'12'!A53</f>
        <v/>
      </c>
      <c r="V240" s="56">
        <f>+'12'!B53</f>
        <v>0</v>
      </c>
      <c r="W240" s="56">
        <f>+'12'!C53</f>
        <v>0</v>
      </c>
      <c r="X240" s="56">
        <f>+'12'!D53</f>
        <v>0</v>
      </c>
      <c r="Y240" s="61">
        <f>+'12'!E53</f>
        <v>0</v>
      </c>
      <c r="AB240" s="56"/>
      <c r="AC240" s="62"/>
    </row>
    <row r="241" spans="6:29">
      <c r="F241" s="10">
        <f>+'24'!D1</f>
        <v>46166</v>
      </c>
      <c r="G241" s="11" t="str">
        <f>+'24'!A11</f>
        <v/>
      </c>
      <c r="H241" s="11">
        <f>+'24'!B11</f>
        <v>0</v>
      </c>
      <c r="I241" s="11">
        <f>+'24'!C11</f>
        <v>0</v>
      </c>
      <c r="J241" s="11">
        <f>+'24'!D11</f>
        <v>0</v>
      </c>
      <c r="K241" s="13">
        <f>+'24'!E11</f>
        <v>0</v>
      </c>
      <c r="M241" s="10">
        <f>+'20'!D1</f>
        <v>46162</v>
      </c>
      <c r="N241" s="11" t="str">
        <f>+'20'!A33</f>
        <v/>
      </c>
      <c r="O241" s="11">
        <f>+'20'!B33</f>
        <v>0</v>
      </c>
      <c r="P241" s="11">
        <f>+'20'!C33</f>
        <v>0</v>
      </c>
      <c r="Q241" s="11">
        <f>+'20'!D33</f>
        <v>0</v>
      </c>
      <c r="R241" s="13">
        <f>+'20'!E33</f>
        <v>0</v>
      </c>
      <c r="T241" s="10">
        <f>+'12'!D1</f>
        <v>46154</v>
      </c>
      <c r="U241" s="56" t="str">
        <f>+'12'!A54</f>
        <v/>
      </c>
      <c r="V241" s="56">
        <f>+'12'!B54</f>
        <v>0</v>
      </c>
      <c r="W241" s="56">
        <f>+'12'!C54</f>
        <v>0</v>
      </c>
      <c r="X241" s="56">
        <f>+'12'!D54</f>
        <v>0</v>
      </c>
      <c r="Y241" s="61">
        <f>+'12'!E54</f>
        <v>0</v>
      </c>
      <c r="AB241" s="56"/>
      <c r="AC241" s="62"/>
    </row>
    <row r="242" spans="6:29">
      <c r="F242" s="10">
        <f>+'24'!D1</f>
        <v>46166</v>
      </c>
      <c r="G242" s="11" t="str">
        <f>+'24'!A12</f>
        <v/>
      </c>
      <c r="H242" s="11">
        <f>+'24'!B12</f>
        <v>0</v>
      </c>
      <c r="I242" s="11">
        <f>+'24'!C12</f>
        <v>0</v>
      </c>
      <c r="J242" s="11">
        <f>+'24'!D12</f>
        <v>0</v>
      </c>
      <c r="K242" s="13">
        <f>+'24'!E12</f>
        <v>0</v>
      </c>
      <c r="M242" s="10">
        <f>+'20'!D1</f>
        <v>46162</v>
      </c>
      <c r="N242" s="11" t="str">
        <f>+'20'!A34</f>
        <v/>
      </c>
      <c r="O242" s="11">
        <f>+'20'!B34</f>
        <v>0</v>
      </c>
      <c r="P242" s="11">
        <f>+'20'!C34</f>
        <v>0</v>
      </c>
      <c r="Q242" s="11">
        <f>+'20'!D34</f>
        <v>0</v>
      </c>
      <c r="R242" s="13">
        <f>+'20'!E34</f>
        <v>0</v>
      </c>
      <c r="T242" s="10">
        <f>+'12'!D1</f>
        <v>46154</v>
      </c>
      <c r="U242" s="56" t="str">
        <f>+'12'!A55</f>
        <v/>
      </c>
      <c r="V242" s="56">
        <f>+'12'!B55</f>
        <v>0</v>
      </c>
      <c r="W242" s="56">
        <f>+'12'!C55</f>
        <v>0</v>
      </c>
      <c r="X242" s="56">
        <f>+'12'!D55</f>
        <v>0</v>
      </c>
      <c r="Y242" s="61">
        <f>+'12'!E55</f>
        <v>0</v>
      </c>
      <c r="AB242" s="56"/>
      <c r="AC242" s="62"/>
    </row>
    <row r="243" spans="6:29">
      <c r="F243" s="10">
        <f>+'25'!D1</f>
        <v>46167</v>
      </c>
      <c r="G243" s="11" t="str">
        <f>+'25'!A3</f>
        <v/>
      </c>
      <c r="H243" s="11">
        <f>+'25'!B3</f>
        <v>0</v>
      </c>
      <c r="I243" s="11">
        <f>+'25'!C3</f>
        <v>0</v>
      </c>
      <c r="J243" s="11">
        <f>+'25'!D3</f>
        <v>0</v>
      </c>
      <c r="K243" s="13">
        <f>+'25'!E3</f>
        <v>0</v>
      </c>
      <c r="M243" s="10">
        <f>+'21'!D1</f>
        <v>46163</v>
      </c>
      <c r="N243" s="11" t="str">
        <f>+'21'!A23</f>
        <v/>
      </c>
      <c r="O243" s="11">
        <f>+'21'!B23</f>
        <v>0</v>
      </c>
      <c r="P243" s="11">
        <f>+'21'!C23</f>
        <v>0</v>
      </c>
      <c r="Q243" s="11">
        <f>+'21'!D23</f>
        <v>0</v>
      </c>
      <c r="R243" s="13">
        <f>+'21'!E23</f>
        <v>0</v>
      </c>
      <c r="T243" s="10">
        <f>+'13'!D1</f>
        <v>46155</v>
      </c>
      <c r="U243" s="56" t="str">
        <f>+'13'!A36</f>
        <v/>
      </c>
      <c r="V243" s="56">
        <f>+'13'!B36</f>
        <v>0</v>
      </c>
      <c r="W243" s="56">
        <f>+'13'!C36</f>
        <v>0</v>
      </c>
      <c r="X243" s="56">
        <f>+'13'!D36</f>
        <v>0</v>
      </c>
      <c r="Y243" s="61">
        <f>+'13'!E36</f>
        <v>0</v>
      </c>
      <c r="AB243" s="56"/>
      <c r="AC243" s="62"/>
    </row>
    <row r="244" spans="6:29">
      <c r="F244" s="10">
        <f>+'25'!D1</f>
        <v>46167</v>
      </c>
      <c r="G244" s="11" t="str">
        <f>+'25'!A4</f>
        <v/>
      </c>
      <c r="H244" s="11">
        <f>+'25'!B4</f>
        <v>0</v>
      </c>
      <c r="I244" s="11">
        <f>+'25'!C4</f>
        <v>0</v>
      </c>
      <c r="J244" s="11">
        <f>+'25'!D4</f>
        <v>0</v>
      </c>
      <c r="K244" s="13">
        <f>+'25'!E4</f>
        <v>0</v>
      </c>
      <c r="M244" s="10">
        <f>+'21'!D1</f>
        <v>46163</v>
      </c>
      <c r="N244" s="11" t="str">
        <f>+'21'!A24</f>
        <v/>
      </c>
      <c r="O244" s="11">
        <f>+'21'!B24</f>
        <v>0</v>
      </c>
      <c r="P244" s="11">
        <f>+'21'!C24</f>
        <v>0</v>
      </c>
      <c r="Q244" s="11">
        <f>+'21'!D24</f>
        <v>0</v>
      </c>
      <c r="R244" s="13">
        <f>+'21'!E24</f>
        <v>0</v>
      </c>
      <c r="T244" s="10">
        <f>+'13'!D1</f>
        <v>46155</v>
      </c>
      <c r="U244" s="56" t="str">
        <f>+'13'!A37</f>
        <v/>
      </c>
      <c r="V244" s="56">
        <f>+'13'!B37</f>
        <v>0</v>
      </c>
      <c r="W244" s="56">
        <f>+'13'!C37</f>
        <v>0</v>
      </c>
      <c r="X244" s="56">
        <f>+'13'!D37</f>
        <v>0</v>
      </c>
      <c r="Y244" s="61">
        <f>+'13'!E37</f>
        <v>0</v>
      </c>
      <c r="AB244" s="56"/>
      <c r="AC244" s="62"/>
    </row>
    <row r="245" spans="6:29">
      <c r="F245" s="10">
        <f>+'25'!D1</f>
        <v>46167</v>
      </c>
      <c r="G245" s="11" t="str">
        <f>+'25'!A5</f>
        <v/>
      </c>
      <c r="H245" s="11">
        <f>+'25'!B5</f>
        <v>0</v>
      </c>
      <c r="I245" s="11">
        <f>+'25'!C5</f>
        <v>0</v>
      </c>
      <c r="J245" s="11">
        <f>+'25'!D5</f>
        <v>0</v>
      </c>
      <c r="K245" s="13">
        <f>+'25'!E5</f>
        <v>0</v>
      </c>
      <c r="M245" s="10">
        <f>+'21'!D1</f>
        <v>46163</v>
      </c>
      <c r="N245" s="11" t="str">
        <f>+'21'!A25</f>
        <v/>
      </c>
      <c r="O245" s="11">
        <f>+'21'!B25</f>
        <v>0</v>
      </c>
      <c r="P245" s="11">
        <f>+'21'!C25</f>
        <v>0</v>
      </c>
      <c r="Q245" s="11">
        <f>+'21'!D25</f>
        <v>0</v>
      </c>
      <c r="R245" s="13">
        <f>+'21'!E25</f>
        <v>0</v>
      </c>
      <c r="T245" s="10">
        <f>+'13'!D1</f>
        <v>46155</v>
      </c>
      <c r="U245" s="56" t="str">
        <f>+'13'!A38</f>
        <v/>
      </c>
      <c r="V245" s="56">
        <f>+'13'!B38</f>
        <v>0</v>
      </c>
      <c r="W245" s="56">
        <f>+'13'!C38</f>
        <v>0</v>
      </c>
      <c r="X245" s="56">
        <f>+'13'!D38</f>
        <v>0</v>
      </c>
      <c r="Y245" s="61">
        <f>+'13'!E38</f>
        <v>0</v>
      </c>
      <c r="AB245" s="56"/>
      <c r="AC245" s="62"/>
    </row>
    <row r="246" spans="6:29">
      <c r="F246" s="10">
        <f>+'25'!D1</f>
        <v>46167</v>
      </c>
      <c r="G246" s="11" t="str">
        <f>+'25'!A6</f>
        <v/>
      </c>
      <c r="H246" s="11">
        <f>+'25'!B6</f>
        <v>0</v>
      </c>
      <c r="I246" s="11">
        <f>+'25'!C6</f>
        <v>0</v>
      </c>
      <c r="J246" s="11">
        <f>+'25'!D6</f>
        <v>0</v>
      </c>
      <c r="K246" s="13">
        <f>+'25'!E6</f>
        <v>0</v>
      </c>
      <c r="M246" s="10">
        <f>+'21'!D1</f>
        <v>46163</v>
      </c>
      <c r="N246" s="11" t="str">
        <f>+'21'!A26</f>
        <v/>
      </c>
      <c r="O246" s="11">
        <f>+'21'!B26</f>
        <v>0</v>
      </c>
      <c r="P246" s="11">
        <f>+'21'!C26</f>
        <v>0</v>
      </c>
      <c r="Q246" s="11">
        <f>+'21'!D26</f>
        <v>0</v>
      </c>
      <c r="R246" s="13">
        <f>+'21'!E26</f>
        <v>0</v>
      </c>
      <c r="T246" s="10">
        <f>+'13'!D1</f>
        <v>46155</v>
      </c>
      <c r="U246" s="56" t="str">
        <f>+'13'!A39</f>
        <v/>
      </c>
      <c r="V246" s="56">
        <f>+'13'!B39</f>
        <v>0</v>
      </c>
      <c r="W246" s="56">
        <f>+'13'!C39</f>
        <v>0</v>
      </c>
      <c r="X246" s="56">
        <f>+'13'!D39</f>
        <v>0</v>
      </c>
      <c r="Y246" s="61">
        <f>+'13'!E39</f>
        <v>0</v>
      </c>
      <c r="AB246" s="56"/>
      <c r="AC246" s="62"/>
    </row>
    <row r="247" spans="6:29">
      <c r="F247" s="10">
        <f>+'25'!D1</f>
        <v>46167</v>
      </c>
      <c r="G247" s="11" t="str">
        <f>+'25'!A7</f>
        <v/>
      </c>
      <c r="H247" s="11">
        <f>+'25'!B7</f>
        <v>0</v>
      </c>
      <c r="I247" s="11">
        <f>+'25'!C7</f>
        <v>0</v>
      </c>
      <c r="J247" s="11">
        <f>+'25'!D7</f>
        <v>0</v>
      </c>
      <c r="K247" s="13">
        <f>+'25'!E7</f>
        <v>0</v>
      </c>
      <c r="M247" s="10">
        <f>+'21'!D1</f>
        <v>46163</v>
      </c>
      <c r="N247" s="11" t="str">
        <f>+'21'!A27</f>
        <v/>
      </c>
      <c r="O247" s="11">
        <f>+'21'!B27</f>
        <v>0</v>
      </c>
      <c r="P247" s="11">
        <f>+'21'!C27</f>
        <v>0</v>
      </c>
      <c r="Q247" s="11">
        <f>+'21'!D27</f>
        <v>0</v>
      </c>
      <c r="R247" s="13">
        <f>+'21'!E27</f>
        <v>0</v>
      </c>
      <c r="T247" s="10">
        <f>+'13'!D1</f>
        <v>46155</v>
      </c>
      <c r="U247" s="56" t="str">
        <f>+'13'!A40</f>
        <v/>
      </c>
      <c r="V247" s="56">
        <f>+'13'!B40</f>
        <v>0</v>
      </c>
      <c r="W247" s="56">
        <f>+'13'!C40</f>
        <v>0</v>
      </c>
      <c r="X247" s="56">
        <f>+'13'!D40</f>
        <v>0</v>
      </c>
      <c r="Y247" s="61">
        <f>+'13'!E40</f>
        <v>0</v>
      </c>
      <c r="AB247" s="56"/>
      <c r="AC247" s="62"/>
    </row>
    <row r="248" spans="6:29">
      <c r="F248" s="10">
        <f>+'25'!D1</f>
        <v>46167</v>
      </c>
      <c r="G248" s="11" t="str">
        <f>+'25'!A8</f>
        <v/>
      </c>
      <c r="H248" s="11">
        <f>+'25'!B8</f>
        <v>0</v>
      </c>
      <c r="I248" s="11">
        <f>+'25'!C8</f>
        <v>0</v>
      </c>
      <c r="J248" s="11">
        <f>+'25'!D8</f>
        <v>0</v>
      </c>
      <c r="K248" s="13">
        <f>+'25'!E8</f>
        <v>0</v>
      </c>
      <c r="M248" s="10">
        <f>+'21'!D1</f>
        <v>46163</v>
      </c>
      <c r="N248" s="11" t="str">
        <f>+'21'!A28</f>
        <v/>
      </c>
      <c r="O248" s="11">
        <f>+'21'!B28</f>
        <v>0</v>
      </c>
      <c r="P248" s="11">
        <f>+'21'!C28</f>
        <v>0</v>
      </c>
      <c r="Q248" s="11">
        <f>+'21'!D28</f>
        <v>0</v>
      </c>
      <c r="R248" s="13">
        <f>+'21'!E28</f>
        <v>0</v>
      </c>
      <c r="T248" s="10">
        <f>+'13'!D1</f>
        <v>46155</v>
      </c>
      <c r="U248" s="56" t="str">
        <f>+'13'!A41</f>
        <v/>
      </c>
      <c r="V248" s="56">
        <f>+'13'!B41</f>
        <v>0</v>
      </c>
      <c r="W248" s="56">
        <f>+'13'!C41</f>
        <v>0</v>
      </c>
      <c r="X248" s="56">
        <f>+'13'!D41</f>
        <v>0</v>
      </c>
      <c r="Y248" s="61">
        <f>+'13'!E41</f>
        <v>0</v>
      </c>
      <c r="AB248" s="56"/>
      <c r="AC248" s="62"/>
    </row>
    <row r="249" spans="6:29">
      <c r="F249" s="10">
        <f>+'25'!D1</f>
        <v>46167</v>
      </c>
      <c r="G249" s="11" t="str">
        <f>+'25'!A9</f>
        <v/>
      </c>
      <c r="H249" s="11">
        <f>+'25'!B9</f>
        <v>0</v>
      </c>
      <c r="I249" s="11">
        <f>+'25'!C9</f>
        <v>0</v>
      </c>
      <c r="J249" s="11" t="str">
        <f>+'25'!D9</f>
        <v> </v>
      </c>
      <c r="K249" s="13">
        <f>+'25'!E9</f>
        <v>0</v>
      </c>
      <c r="M249" s="10">
        <f>+'21'!D1</f>
        <v>46163</v>
      </c>
      <c r="N249" s="11" t="str">
        <f>+'21'!A29</f>
        <v/>
      </c>
      <c r="O249" s="11">
        <f>+'21'!B29</f>
        <v>0</v>
      </c>
      <c r="P249" s="11">
        <f>+'21'!C29</f>
        <v>0</v>
      </c>
      <c r="Q249" s="11">
        <f>+'21'!D29</f>
        <v>0</v>
      </c>
      <c r="R249" s="13">
        <f>+'21'!E29</f>
        <v>0</v>
      </c>
      <c r="T249" s="10">
        <f>+'13'!D1</f>
        <v>46155</v>
      </c>
      <c r="U249" s="56" t="str">
        <f>+'13'!A42</f>
        <v/>
      </c>
      <c r="V249" s="56">
        <f>+'13'!B42</f>
        <v>0</v>
      </c>
      <c r="W249" s="56">
        <f>+'13'!C42</f>
        <v>0</v>
      </c>
      <c r="X249" s="56">
        <f>+'13'!D42</f>
        <v>0</v>
      </c>
      <c r="Y249" s="61">
        <f>+'13'!E42</f>
        <v>0</v>
      </c>
      <c r="AB249" s="56"/>
      <c r="AC249" s="62"/>
    </row>
    <row r="250" spans="6:29">
      <c r="F250" s="10">
        <f>+'25'!D1</f>
        <v>46167</v>
      </c>
      <c r="G250" s="11" t="str">
        <f>+'25'!A10</f>
        <v/>
      </c>
      <c r="H250" s="11">
        <f>+'25'!B10</f>
        <v>0</v>
      </c>
      <c r="I250" s="11">
        <f>+'25'!C10</f>
        <v>0</v>
      </c>
      <c r="J250" s="11">
        <f>+'25'!D10</f>
        <v>0</v>
      </c>
      <c r="K250" s="13">
        <f>+'25'!E10</f>
        <v>0</v>
      </c>
      <c r="M250" s="10">
        <f>+'21'!D1</f>
        <v>46163</v>
      </c>
      <c r="N250" s="11" t="str">
        <f>+'21'!A30</f>
        <v/>
      </c>
      <c r="O250" s="11">
        <f>+'21'!B30</f>
        <v>0</v>
      </c>
      <c r="P250" s="11">
        <f>+'21'!C30</f>
        <v>0</v>
      </c>
      <c r="Q250" s="11">
        <f>+'21'!D30</f>
        <v>0</v>
      </c>
      <c r="R250" s="13">
        <f>+'21'!E30</f>
        <v>0</v>
      </c>
      <c r="T250" s="10">
        <f>+'13'!D1</f>
        <v>46155</v>
      </c>
      <c r="U250" s="56" t="str">
        <f>+'13'!A43</f>
        <v/>
      </c>
      <c r="V250" s="56">
        <f>+'13'!B43</f>
        <v>0</v>
      </c>
      <c r="W250" s="56">
        <f>+'13'!C43</f>
        <v>0</v>
      </c>
      <c r="X250" s="56">
        <f>+'13'!D43</f>
        <v>0</v>
      </c>
      <c r="Y250" s="61">
        <f>+'13'!E43</f>
        <v>0</v>
      </c>
      <c r="AB250" s="56"/>
      <c r="AC250" s="62"/>
    </row>
    <row r="251" spans="6:29">
      <c r="F251" s="10">
        <f>+'25'!D1</f>
        <v>46167</v>
      </c>
      <c r="G251" s="11" t="str">
        <f>+'25'!A11</f>
        <v/>
      </c>
      <c r="H251" s="11">
        <f>+'25'!B11</f>
        <v>0</v>
      </c>
      <c r="I251" s="11">
        <f>+'25'!C11</f>
        <v>0</v>
      </c>
      <c r="J251" s="11">
        <f>+'25'!D11</f>
        <v>0</v>
      </c>
      <c r="K251" s="13">
        <f>+'25'!E11</f>
        <v>0</v>
      </c>
      <c r="M251" s="10">
        <f>+'21'!D1</f>
        <v>46163</v>
      </c>
      <c r="N251" s="11" t="str">
        <f>+'21'!A31</f>
        <v/>
      </c>
      <c r="O251" s="11">
        <f>+'21'!B31</f>
        <v>0</v>
      </c>
      <c r="P251" s="11">
        <f>+'21'!C31</f>
        <v>0</v>
      </c>
      <c r="Q251" s="11">
        <f>+'21'!D31</f>
        <v>0</v>
      </c>
      <c r="R251" s="13">
        <f>+'21'!E31</f>
        <v>0</v>
      </c>
      <c r="T251" s="10">
        <f>+'13'!D1</f>
        <v>46155</v>
      </c>
      <c r="U251" s="56" t="str">
        <f>+'13'!A44</f>
        <v/>
      </c>
      <c r="V251" s="56">
        <f>+'13'!B44</f>
        <v>0</v>
      </c>
      <c r="W251" s="56">
        <f>+'13'!C44</f>
        <v>0</v>
      </c>
      <c r="X251" s="56">
        <f>+'13'!D44</f>
        <v>0</v>
      </c>
      <c r="Y251" s="61">
        <f>+'13'!E44</f>
        <v>0</v>
      </c>
      <c r="AB251" s="56"/>
      <c r="AC251" s="62"/>
    </row>
    <row r="252" spans="6:29">
      <c r="F252" s="10">
        <f>+'25'!D1</f>
        <v>46167</v>
      </c>
      <c r="G252" s="11" t="str">
        <f>+'25'!A12</f>
        <v/>
      </c>
      <c r="H252" s="11">
        <f>+'25'!B12</f>
        <v>0</v>
      </c>
      <c r="I252" s="11">
        <f>+'25'!C12</f>
        <v>0</v>
      </c>
      <c r="J252" s="11">
        <f>+'25'!D12</f>
        <v>0</v>
      </c>
      <c r="K252" s="13">
        <f>+'25'!E12</f>
        <v>0</v>
      </c>
      <c r="M252" s="10">
        <f>+'21'!D1</f>
        <v>46163</v>
      </c>
      <c r="N252" s="11" t="str">
        <f>+'21'!A32</f>
        <v/>
      </c>
      <c r="O252" s="11">
        <f>+'21'!B32</f>
        <v>0</v>
      </c>
      <c r="P252" s="11">
        <f>+'21'!C32</f>
        <v>0</v>
      </c>
      <c r="Q252" s="11">
        <f>+'21'!D32</f>
        <v>0</v>
      </c>
      <c r="R252" s="13">
        <f>+'21'!E32</f>
        <v>0</v>
      </c>
      <c r="T252" s="10">
        <f>+'13'!D1</f>
        <v>46155</v>
      </c>
      <c r="U252" s="56" t="str">
        <f>+'13'!A45</f>
        <v/>
      </c>
      <c r="V252" s="56">
        <f>+'13'!B45</f>
        <v>0</v>
      </c>
      <c r="W252" s="56">
        <f>+'13'!C45</f>
        <v>0</v>
      </c>
      <c r="X252" s="56">
        <f>+'13'!D45</f>
        <v>0</v>
      </c>
      <c r="Y252" s="61">
        <f>+'13'!E45</f>
        <v>0</v>
      </c>
      <c r="AB252" s="56"/>
      <c r="AC252" s="62"/>
    </row>
    <row r="253" spans="6:29">
      <c r="F253" s="10">
        <f>+'26'!D1</f>
        <v>46168</v>
      </c>
      <c r="G253" s="11" t="str">
        <f>+'26'!A3</f>
        <v/>
      </c>
      <c r="H253" s="11">
        <f>+'26'!B3</f>
        <v>0</v>
      </c>
      <c r="I253" s="11">
        <f>+'26'!C3</f>
        <v>0</v>
      </c>
      <c r="J253" s="11">
        <f>+'26'!D3</f>
        <v>0</v>
      </c>
      <c r="K253" s="13">
        <f>+'26'!E3</f>
        <v>0</v>
      </c>
      <c r="M253" s="10">
        <f>+'21'!D1</f>
        <v>46163</v>
      </c>
      <c r="N253" s="11" t="str">
        <f>+'21'!A33</f>
        <v/>
      </c>
      <c r="O253" s="11">
        <f>+'21'!B33</f>
        <v>0</v>
      </c>
      <c r="P253" s="11">
        <f>+'21'!C33</f>
        <v>0</v>
      </c>
      <c r="Q253" s="11">
        <f>+'21'!D33</f>
        <v>0</v>
      </c>
      <c r="R253" s="13">
        <f>+'21'!E33</f>
        <v>0</v>
      </c>
      <c r="T253" s="10">
        <f>+'13'!D1</f>
        <v>46155</v>
      </c>
      <c r="U253" s="56" t="str">
        <f>+'13'!A46</f>
        <v/>
      </c>
      <c r="V253" s="56">
        <f>+'13'!B46</f>
        <v>0</v>
      </c>
      <c r="W253" s="56">
        <f>+'13'!C46</f>
        <v>0</v>
      </c>
      <c r="X253" s="56">
        <f>+'13'!D46</f>
        <v>0</v>
      </c>
      <c r="Y253" s="61">
        <f>+'13'!E46</f>
        <v>0</v>
      </c>
      <c r="AB253" s="56"/>
      <c r="AC253" s="62"/>
    </row>
    <row r="254" spans="6:29">
      <c r="F254" s="10">
        <f>+'26'!D1</f>
        <v>46168</v>
      </c>
      <c r="G254" s="11" t="str">
        <f>+'26'!A4</f>
        <v/>
      </c>
      <c r="H254" s="11">
        <f>+'26'!B4</f>
        <v>0</v>
      </c>
      <c r="I254" s="11">
        <f>+'26'!C4</f>
        <v>0</v>
      </c>
      <c r="J254" s="11">
        <f>+'26'!D4</f>
        <v>0</v>
      </c>
      <c r="K254" s="13">
        <f>+'26'!E4</f>
        <v>0</v>
      </c>
      <c r="M254" s="10">
        <f>+'21'!D1</f>
        <v>46163</v>
      </c>
      <c r="N254" s="11" t="str">
        <f>+'21'!A34</f>
        <v/>
      </c>
      <c r="O254" s="11">
        <f>+'21'!B34</f>
        <v>0</v>
      </c>
      <c r="P254" s="11">
        <f>+'21'!C34</f>
        <v>0</v>
      </c>
      <c r="Q254" s="11">
        <f>+'21'!D34</f>
        <v>0</v>
      </c>
      <c r="R254" s="13">
        <f>+'21'!E34</f>
        <v>0</v>
      </c>
      <c r="T254" s="10">
        <f>+'13'!D1</f>
        <v>46155</v>
      </c>
      <c r="U254" s="56" t="str">
        <f>+'13'!A47</f>
        <v/>
      </c>
      <c r="V254" s="56">
        <f>+'13'!B47</f>
        <v>0</v>
      </c>
      <c r="W254" s="56">
        <f>+'13'!C47</f>
        <v>0</v>
      </c>
      <c r="X254" s="56">
        <f>+'13'!D47</f>
        <v>0</v>
      </c>
      <c r="Y254" s="61">
        <f>+'13'!E47</f>
        <v>0</v>
      </c>
      <c r="AB254" s="56"/>
      <c r="AC254" s="62"/>
    </row>
    <row r="255" spans="6:29">
      <c r="F255" s="10">
        <f>+'26'!D1</f>
        <v>46168</v>
      </c>
      <c r="G255" s="11" t="str">
        <f>+'26'!A5</f>
        <v/>
      </c>
      <c r="H255" s="11">
        <f>+'26'!B5</f>
        <v>0</v>
      </c>
      <c r="I255" s="11">
        <f>+'26'!C5</f>
        <v>0</v>
      </c>
      <c r="J255" s="11">
        <f>+'26'!D5</f>
        <v>0</v>
      </c>
      <c r="K255" s="13">
        <f>+'26'!E5</f>
        <v>0</v>
      </c>
      <c r="M255" s="10">
        <f>+'22'!D1</f>
        <v>46164</v>
      </c>
      <c r="N255" s="11" t="str">
        <f>+'22'!A23</f>
        <v/>
      </c>
      <c r="O255" s="11">
        <f>+'22'!B23</f>
        <v>0</v>
      </c>
      <c r="P255" s="11">
        <f>+'22'!C23</f>
        <v>0</v>
      </c>
      <c r="Q255" s="11">
        <f>+'22'!D23</f>
        <v>0</v>
      </c>
      <c r="R255" s="13">
        <f>+'22'!E23</f>
        <v>0</v>
      </c>
      <c r="T255" s="10">
        <f>+'13'!D1</f>
        <v>46155</v>
      </c>
      <c r="U255" s="56" t="str">
        <f>+'13'!A48</f>
        <v/>
      </c>
      <c r="V255" s="56">
        <f>+'13'!B48</f>
        <v>0</v>
      </c>
      <c r="W255" s="56">
        <f>+'13'!C48</f>
        <v>0</v>
      </c>
      <c r="X255" s="56">
        <f>+'13'!D48</f>
        <v>0</v>
      </c>
      <c r="Y255" s="61">
        <f>+'13'!E48</f>
        <v>0</v>
      </c>
      <c r="AB255" s="56"/>
      <c r="AC255" s="62"/>
    </row>
    <row r="256" spans="6:29">
      <c r="F256" s="10">
        <f>+'26'!D1</f>
        <v>46168</v>
      </c>
      <c r="G256" s="11" t="str">
        <f>+'26'!A6</f>
        <v/>
      </c>
      <c r="H256" s="11">
        <f>+'26'!B6</f>
        <v>0</v>
      </c>
      <c r="I256" s="11">
        <f>+'26'!C6</f>
        <v>0</v>
      </c>
      <c r="J256" s="11">
        <f>+'26'!D6</f>
        <v>0</v>
      </c>
      <c r="K256" s="13">
        <f>+'26'!E6</f>
        <v>0</v>
      </c>
      <c r="M256" s="10">
        <f>+'22'!D1</f>
        <v>46164</v>
      </c>
      <c r="N256" s="11" t="str">
        <f>+'22'!A24</f>
        <v/>
      </c>
      <c r="O256" s="11">
        <f>+'22'!B24</f>
        <v>0</v>
      </c>
      <c r="P256" s="11">
        <f>+'22'!C24</f>
        <v>0</v>
      </c>
      <c r="Q256" s="11">
        <f>+'22'!D24</f>
        <v>0</v>
      </c>
      <c r="R256" s="13">
        <f>+'22'!E24</f>
        <v>0</v>
      </c>
      <c r="T256" s="10">
        <f>+'13'!D1</f>
        <v>46155</v>
      </c>
      <c r="U256" s="56" t="str">
        <f>+'13'!A49</f>
        <v/>
      </c>
      <c r="V256" s="56">
        <f>+'13'!B49</f>
        <v>0</v>
      </c>
      <c r="W256" s="56">
        <f>+'13'!C49</f>
        <v>0</v>
      </c>
      <c r="X256" s="56">
        <f>+'13'!D49</f>
        <v>0</v>
      </c>
      <c r="Y256" s="61">
        <f>+'13'!E49</f>
        <v>0</v>
      </c>
      <c r="AB256" s="56"/>
      <c r="AC256" s="62"/>
    </row>
    <row r="257" spans="6:29">
      <c r="F257" s="10">
        <f>+'26'!D1</f>
        <v>46168</v>
      </c>
      <c r="G257" s="11" t="str">
        <f>+'26'!A7</f>
        <v/>
      </c>
      <c r="H257" s="11">
        <f>+'26'!B7</f>
        <v>0</v>
      </c>
      <c r="I257" s="11">
        <f>+'26'!C7</f>
        <v>0</v>
      </c>
      <c r="J257" s="11">
        <f>+'26'!D7</f>
        <v>0</v>
      </c>
      <c r="K257" s="13">
        <f>+'26'!E7</f>
        <v>0</v>
      </c>
      <c r="M257" s="10">
        <f>+'22'!D1</f>
        <v>46164</v>
      </c>
      <c r="N257" s="11" t="str">
        <f>+'22'!A25</f>
        <v/>
      </c>
      <c r="O257" s="11">
        <f>+'22'!B25</f>
        <v>0</v>
      </c>
      <c r="P257" s="11">
        <f>+'22'!C25</f>
        <v>0</v>
      </c>
      <c r="Q257" s="11">
        <f>+'22'!D25</f>
        <v>0</v>
      </c>
      <c r="R257" s="13">
        <f>+'22'!E25</f>
        <v>0</v>
      </c>
      <c r="T257" s="10">
        <f>+'13'!D1</f>
        <v>46155</v>
      </c>
      <c r="U257" s="56" t="str">
        <f>+'13'!A50</f>
        <v/>
      </c>
      <c r="V257" s="56">
        <f>+'13'!B50</f>
        <v>0</v>
      </c>
      <c r="W257" s="56">
        <f>+'13'!C50</f>
        <v>0</v>
      </c>
      <c r="X257" s="56">
        <f>+'13'!D50</f>
        <v>0</v>
      </c>
      <c r="Y257" s="61">
        <f>+'13'!E50</f>
        <v>0</v>
      </c>
      <c r="AB257" s="56"/>
      <c r="AC257" s="62"/>
    </row>
    <row r="258" spans="6:29">
      <c r="F258" s="10">
        <f>+'26'!D1</f>
        <v>46168</v>
      </c>
      <c r="G258" s="11" t="str">
        <f>+'26'!A8</f>
        <v/>
      </c>
      <c r="H258" s="11">
        <f>+'26'!B8</f>
        <v>0</v>
      </c>
      <c r="I258" s="11">
        <f>+'26'!C8</f>
        <v>0</v>
      </c>
      <c r="J258" s="11">
        <f>+'26'!D8</f>
        <v>0</v>
      </c>
      <c r="K258" s="13">
        <f>+'26'!E8</f>
        <v>0</v>
      </c>
      <c r="M258" s="10">
        <f>+'22'!D1</f>
        <v>46164</v>
      </c>
      <c r="N258" s="11" t="str">
        <f>+'22'!A26</f>
        <v/>
      </c>
      <c r="O258" s="11">
        <f>+'22'!B26</f>
        <v>0</v>
      </c>
      <c r="P258" s="11">
        <f>+'22'!C26</f>
        <v>0</v>
      </c>
      <c r="Q258" s="11">
        <f>+'22'!D26</f>
        <v>0</v>
      </c>
      <c r="R258" s="13">
        <f>+'22'!E26</f>
        <v>0</v>
      </c>
      <c r="T258" s="10">
        <f>+'13'!D1</f>
        <v>46155</v>
      </c>
      <c r="U258" s="56" t="str">
        <f>+'13'!A51</f>
        <v/>
      </c>
      <c r="V258" s="56">
        <f>+'13'!B51</f>
        <v>0</v>
      </c>
      <c r="W258" s="56">
        <f>+'13'!C51</f>
        <v>0</v>
      </c>
      <c r="X258" s="56">
        <f>+'13'!D51</f>
        <v>0</v>
      </c>
      <c r="Y258" s="61">
        <f>+'13'!E51</f>
        <v>0</v>
      </c>
      <c r="AB258" s="56"/>
      <c r="AC258" s="62"/>
    </row>
    <row r="259" spans="6:29">
      <c r="F259" s="10">
        <f>+'26'!D1</f>
        <v>46168</v>
      </c>
      <c r="G259" s="11" t="str">
        <f>+'26'!A9</f>
        <v/>
      </c>
      <c r="H259" s="11">
        <f>+'26'!B9</f>
        <v>0</v>
      </c>
      <c r="I259" s="11">
        <f>+'26'!C9</f>
        <v>0</v>
      </c>
      <c r="J259" s="11" t="str">
        <f>+'26'!D9</f>
        <v> </v>
      </c>
      <c r="K259" s="13">
        <f>+'26'!E9</f>
        <v>0</v>
      </c>
      <c r="M259" s="10">
        <f>+'22'!D1</f>
        <v>46164</v>
      </c>
      <c r="N259" s="11" t="str">
        <f>+'22'!A27</f>
        <v/>
      </c>
      <c r="O259" s="11">
        <f>+'22'!B27</f>
        <v>0</v>
      </c>
      <c r="P259" s="11">
        <f>+'22'!C27</f>
        <v>0</v>
      </c>
      <c r="Q259" s="11">
        <f>+'22'!D27</f>
        <v>0</v>
      </c>
      <c r="R259" s="13">
        <f>+'22'!E27</f>
        <v>0</v>
      </c>
      <c r="T259" s="10">
        <f>+'13'!D1</f>
        <v>46155</v>
      </c>
      <c r="U259" s="56" t="str">
        <f>+'13'!A52</f>
        <v/>
      </c>
      <c r="V259" s="56">
        <f>+'13'!B52</f>
        <v>0</v>
      </c>
      <c r="W259" s="56">
        <f>+'13'!C52</f>
        <v>0</v>
      </c>
      <c r="X259" s="56">
        <f>+'13'!D52</f>
        <v>0</v>
      </c>
      <c r="Y259" s="61">
        <f>+'13'!E52</f>
        <v>0</v>
      </c>
      <c r="AB259" s="56"/>
      <c r="AC259" s="62"/>
    </row>
    <row r="260" spans="6:29">
      <c r="F260" s="10">
        <f>+'26'!D1</f>
        <v>46168</v>
      </c>
      <c r="G260" s="11" t="str">
        <f>+'26'!A10</f>
        <v/>
      </c>
      <c r="H260" s="11">
        <f>+'26'!B10</f>
        <v>0</v>
      </c>
      <c r="I260" s="11">
        <f>+'26'!C10</f>
        <v>0</v>
      </c>
      <c r="J260" s="11">
        <f>+'26'!D10</f>
        <v>0</v>
      </c>
      <c r="K260" s="13">
        <f>+'26'!E10</f>
        <v>0</v>
      </c>
      <c r="M260" s="10">
        <f>+'22'!D1</f>
        <v>46164</v>
      </c>
      <c r="N260" s="11" t="str">
        <f>+'22'!A28</f>
        <v/>
      </c>
      <c r="O260" s="11">
        <f>+'22'!B28</f>
        <v>0</v>
      </c>
      <c r="P260" s="11">
        <f>+'22'!C28</f>
        <v>0</v>
      </c>
      <c r="Q260" s="11">
        <f>+'22'!D28</f>
        <v>0</v>
      </c>
      <c r="R260" s="13">
        <f>+'22'!E28</f>
        <v>0</v>
      </c>
      <c r="T260" s="10">
        <f>+'13'!D1</f>
        <v>46155</v>
      </c>
      <c r="U260" s="56" t="str">
        <f>+'13'!A53</f>
        <v/>
      </c>
      <c r="V260" s="56">
        <f>+'13'!B53</f>
        <v>0</v>
      </c>
      <c r="W260" s="56">
        <f>+'13'!C53</f>
        <v>0</v>
      </c>
      <c r="X260" s="56">
        <f>+'13'!D53</f>
        <v>0</v>
      </c>
      <c r="Y260" s="61">
        <f>+'13'!E53</f>
        <v>0</v>
      </c>
      <c r="AB260" s="56"/>
      <c r="AC260" s="62"/>
    </row>
    <row r="261" spans="6:29">
      <c r="F261" s="10">
        <f>+'26'!D1</f>
        <v>46168</v>
      </c>
      <c r="G261" s="11" t="str">
        <f>+'26'!A11</f>
        <v/>
      </c>
      <c r="H261" s="11">
        <f>+'26'!B11</f>
        <v>0</v>
      </c>
      <c r="I261" s="11">
        <f>+'26'!C11</f>
        <v>0</v>
      </c>
      <c r="J261" s="11">
        <f>+'26'!D11</f>
        <v>0</v>
      </c>
      <c r="K261" s="13">
        <f>+'26'!E11</f>
        <v>0</v>
      </c>
      <c r="M261" s="10">
        <f>+'22'!D1</f>
        <v>46164</v>
      </c>
      <c r="N261" s="11" t="str">
        <f>+'22'!A29</f>
        <v/>
      </c>
      <c r="O261" s="11">
        <f>+'22'!B29</f>
        <v>0</v>
      </c>
      <c r="P261" s="11">
        <f>+'22'!C29</f>
        <v>0</v>
      </c>
      <c r="Q261" s="11">
        <f>+'22'!D29</f>
        <v>0</v>
      </c>
      <c r="R261" s="13">
        <f>+'22'!E29</f>
        <v>0</v>
      </c>
      <c r="T261" s="10">
        <f>+'13'!D1</f>
        <v>46155</v>
      </c>
      <c r="U261" s="56" t="str">
        <f>+'13'!A54</f>
        <v/>
      </c>
      <c r="V261" s="56">
        <f>+'13'!B54</f>
        <v>0</v>
      </c>
      <c r="W261" s="56">
        <f>+'13'!C54</f>
        <v>0</v>
      </c>
      <c r="X261" s="56">
        <f>+'13'!D54</f>
        <v>0</v>
      </c>
      <c r="Y261" s="61">
        <f>+'13'!E54</f>
        <v>0</v>
      </c>
      <c r="AB261" s="56"/>
      <c r="AC261" s="62"/>
    </row>
    <row r="262" spans="6:29">
      <c r="F262" s="10">
        <f>+'26'!D1</f>
        <v>46168</v>
      </c>
      <c r="G262" s="11" t="str">
        <f>+'26'!A12</f>
        <v/>
      </c>
      <c r="H262" s="11">
        <f>+'26'!B12</f>
        <v>0</v>
      </c>
      <c r="I262" s="11">
        <f>+'26'!C12</f>
        <v>0</v>
      </c>
      <c r="J262" s="11">
        <f>+'26'!D12</f>
        <v>0</v>
      </c>
      <c r="K262" s="13">
        <f>+'26'!E12</f>
        <v>0</v>
      </c>
      <c r="M262" s="10">
        <f>+'22'!D1</f>
        <v>46164</v>
      </c>
      <c r="N262" s="11" t="str">
        <f>+'22'!A30</f>
        <v/>
      </c>
      <c r="O262" s="11">
        <f>+'22'!B30</f>
        <v>0</v>
      </c>
      <c r="P262" s="11">
        <f>+'22'!C30</f>
        <v>0</v>
      </c>
      <c r="Q262" s="11">
        <f>+'22'!D30</f>
        <v>0</v>
      </c>
      <c r="R262" s="13">
        <f>+'22'!E30</f>
        <v>0</v>
      </c>
      <c r="T262" s="10">
        <f>+'13'!D1</f>
        <v>46155</v>
      </c>
      <c r="U262" s="56" t="str">
        <f>+'13'!A55</f>
        <v/>
      </c>
      <c r="V262" s="56">
        <f>+'13'!B55</f>
        <v>0</v>
      </c>
      <c r="W262" s="56">
        <f>+'13'!C55</f>
        <v>0</v>
      </c>
      <c r="X262" s="56">
        <f>+'13'!D55</f>
        <v>0</v>
      </c>
      <c r="Y262" s="61">
        <f>+'13'!E55</f>
        <v>0</v>
      </c>
      <c r="AB262" s="56"/>
      <c r="AC262" s="62"/>
    </row>
    <row r="263" spans="6:29">
      <c r="F263" s="10">
        <f>+'27'!D1</f>
        <v>46169</v>
      </c>
      <c r="G263" s="11" t="str">
        <f>+'27'!A3</f>
        <v/>
      </c>
      <c r="H263" s="11">
        <f>+'27'!B3</f>
        <v>0</v>
      </c>
      <c r="I263" s="11">
        <f>+'27'!C3</f>
        <v>0</v>
      </c>
      <c r="J263" s="11">
        <f>+'27'!D3</f>
        <v>0</v>
      </c>
      <c r="K263" s="13">
        <f>+'27'!E3</f>
        <v>0</v>
      </c>
      <c r="M263" s="10">
        <f>+'22'!D1</f>
        <v>46164</v>
      </c>
      <c r="N263" s="11" t="str">
        <f>+'22'!A31</f>
        <v/>
      </c>
      <c r="O263" s="11">
        <f>+'22'!B31</f>
        <v>0</v>
      </c>
      <c r="P263" s="11">
        <f>+'22'!C31</f>
        <v>0</v>
      </c>
      <c r="Q263" s="11">
        <f>+'22'!D31</f>
        <v>0</v>
      </c>
      <c r="R263" s="13">
        <f>+'22'!E31</f>
        <v>0</v>
      </c>
      <c r="T263" s="10">
        <f>+'14'!D1</f>
        <v>46156</v>
      </c>
      <c r="U263" s="56" t="str">
        <f>+'14'!A36</f>
        <v/>
      </c>
      <c r="V263" s="56">
        <f>+'14'!B36</f>
        <v>0</v>
      </c>
      <c r="W263" s="56">
        <f>+'14'!C36</f>
        <v>0</v>
      </c>
      <c r="X263" s="56">
        <f>+'14'!D36</f>
        <v>0</v>
      </c>
      <c r="Y263" s="61">
        <f>+'14'!E36</f>
        <v>0</v>
      </c>
      <c r="AB263" s="56"/>
      <c r="AC263" s="62"/>
    </row>
    <row r="264" spans="6:29">
      <c r="F264" s="10">
        <f>+'27'!D1</f>
        <v>46169</v>
      </c>
      <c r="G264" s="11" t="str">
        <f>+'27'!A4</f>
        <v/>
      </c>
      <c r="H264" s="11">
        <f>+'27'!B4</f>
        <v>0</v>
      </c>
      <c r="I264" s="11">
        <f>+'27'!C4</f>
        <v>0</v>
      </c>
      <c r="J264" s="11">
        <f>+'27'!D4</f>
        <v>0</v>
      </c>
      <c r="K264" s="13">
        <f>+'27'!E4</f>
        <v>0</v>
      </c>
      <c r="M264" s="10">
        <f>+'22'!D1</f>
        <v>46164</v>
      </c>
      <c r="N264" s="11" t="str">
        <f>+'22'!A32</f>
        <v/>
      </c>
      <c r="O264" s="11">
        <f>+'22'!B32</f>
        <v>0</v>
      </c>
      <c r="P264" s="11">
        <f>+'22'!C32</f>
        <v>0</v>
      </c>
      <c r="Q264" s="11">
        <f>+'22'!D32</f>
        <v>0</v>
      </c>
      <c r="R264" s="13">
        <f>+'22'!E32</f>
        <v>0</v>
      </c>
      <c r="T264" s="10">
        <f>+'14'!D1</f>
        <v>46156</v>
      </c>
      <c r="U264" s="56" t="str">
        <f>+'14'!A37</f>
        <v/>
      </c>
      <c r="V264" s="56">
        <f>+'14'!B37</f>
        <v>0</v>
      </c>
      <c r="W264" s="56">
        <f>+'14'!C37</f>
        <v>0</v>
      </c>
      <c r="X264" s="56">
        <f>+'14'!D37</f>
        <v>0</v>
      </c>
      <c r="Y264" s="61">
        <f>+'14'!E37</f>
        <v>0</v>
      </c>
      <c r="AB264" s="56"/>
      <c r="AC264" s="62"/>
    </row>
    <row r="265" spans="6:29">
      <c r="F265" s="10">
        <f>+'27'!D1</f>
        <v>46169</v>
      </c>
      <c r="G265" s="11" t="str">
        <f>+'27'!A5</f>
        <v/>
      </c>
      <c r="H265" s="11">
        <f>+'27'!B5</f>
        <v>0</v>
      </c>
      <c r="I265" s="11">
        <f>+'27'!C5</f>
        <v>0</v>
      </c>
      <c r="J265" s="11">
        <f>+'27'!D5</f>
        <v>0</v>
      </c>
      <c r="K265" s="13">
        <f>+'27'!E5</f>
        <v>0</v>
      </c>
      <c r="M265" s="10">
        <f>+'22'!D1</f>
        <v>46164</v>
      </c>
      <c r="N265" s="11" t="str">
        <f>+'22'!A33</f>
        <v/>
      </c>
      <c r="O265" s="11">
        <f>+'22'!B33</f>
        <v>0</v>
      </c>
      <c r="P265" s="11">
        <f>+'22'!C33</f>
        <v>0</v>
      </c>
      <c r="Q265" s="11">
        <f>+'22'!D33</f>
        <v>0</v>
      </c>
      <c r="R265" s="13">
        <f>+'22'!E33</f>
        <v>0</v>
      </c>
      <c r="T265" s="10">
        <f>+'14'!D1</f>
        <v>46156</v>
      </c>
      <c r="U265" s="56" t="str">
        <f>+'14'!A38</f>
        <v/>
      </c>
      <c r="V265" s="56">
        <f>+'14'!B38</f>
        <v>0</v>
      </c>
      <c r="W265" s="56">
        <f>+'14'!C38</f>
        <v>0</v>
      </c>
      <c r="X265" s="56">
        <f>+'14'!D38</f>
        <v>0</v>
      </c>
      <c r="Y265" s="61">
        <f>+'14'!E38</f>
        <v>0</v>
      </c>
      <c r="AB265" s="56"/>
      <c r="AC265" s="62"/>
    </row>
    <row r="266" spans="6:29">
      <c r="F266" s="10">
        <f>+'27'!D1</f>
        <v>46169</v>
      </c>
      <c r="G266" s="11" t="str">
        <f>+'27'!A6</f>
        <v/>
      </c>
      <c r="H266" s="11">
        <f>+'27'!B6</f>
        <v>0</v>
      </c>
      <c r="I266" s="11">
        <f>+'27'!C6</f>
        <v>0</v>
      </c>
      <c r="J266" s="11">
        <f>+'27'!D6</f>
        <v>0</v>
      </c>
      <c r="K266" s="13">
        <f>+'27'!E6</f>
        <v>0</v>
      </c>
      <c r="M266" s="10">
        <f>+'22'!D1</f>
        <v>46164</v>
      </c>
      <c r="N266" s="11" t="str">
        <f>+'22'!A34</f>
        <v/>
      </c>
      <c r="O266" s="11">
        <f>+'22'!B34</f>
        <v>0</v>
      </c>
      <c r="P266" s="11">
        <f>+'22'!C34</f>
        <v>0</v>
      </c>
      <c r="Q266" s="11">
        <f>+'22'!D34</f>
        <v>0</v>
      </c>
      <c r="R266" s="13">
        <f>+'22'!E34</f>
        <v>0</v>
      </c>
      <c r="T266" s="10">
        <f>+'14'!D1</f>
        <v>46156</v>
      </c>
      <c r="U266" s="56" t="str">
        <f>+'14'!A39</f>
        <v/>
      </c>
      <c r="V266" s="56">
        <f>+'14'!B39</f>
        <v>0</v>
      </c>
      <c r="W266" s="56">
        <f>+'14'!C39</f>
        <v>0</v>
      </c>
      <c r="X266" s="56">
        <f>+'14'!D39</f>
        <v>0</v>
      </c>
      <c r="Y266" s="61">
        <f>+'14'!E39</f>
        <v>0</v>
      </c>
      <c r="AB266" s="56"/>
      <c r="AC266" s="62"/>
    </row>
    <row r="267" spans="6:29">
      <c r="F267" s="10">
        <f>+'27'!D1</f>
        <v>46169</v>
      </c>
      <c r="G267" s="11" t="str">
        <f>+'27'!A7</f>
        <v/>
      </c>
      <c r="H267" s="11">
        <f>+'27'!B7</f>
        <v>0</v>
      </c>
      <c r="I267" s="11">
        <f>+'27'!C7</f>
        <v>0</v>
      </c>
      <c r="J267" s="11">
        <f>+'27'!D7</f>
        <v>0</v>
      </c>
      <c r="K267" s="13">
        <f>+'27'!E7</f>
        <v>0</v>
      </c>
      <c r="M267" s="10">
        <f>+'23'!D1</f>
        <v>46165</v>
      </c>
      <c r="N267" s="11" t="str">
        <f>+'23'!A23</f>
        <v/>
      </c>
      <c r="O267" s="11">
        <f>+'23'!B23</f>
        <v>0</v>
      </c>
      <c r="P267" s="11">
        <f>+'23'!C23</f>
        <v>0</v>
      </c>
      <c r="Q267" s="11">
        <f>+'23'!D23</f>
        <v>0</v>
      </c>
      <c r="R267" s="13">
        <f>+'23'!E23</f>
        <v>0</v>
      </c>
      <c r="T267" s="10">
        <f>+'14'!D1</f>
        <v>46156</v>
      </c>
      <c r="U267" s="56" t="str">
        <f>+'14'!A40</f>
        <v/>
      </c>
      <c r="V267" s="56">
        <f>+'14'!B40</f>
        <v>0</v>
      </c>
      <c r="W267" s="56">
        <f>+'14'!C40</f>
        <v>0</v>
      </c>
      <c r="X267" s="56">
        <f>+'14'!D40</f>
        <v>0</v>
      </c>
      <c r="Y267" s="61">
        <f>+'14'!E40</f>
        <v>0</v>
      </c>
      <c r="AB267" s="56"/>
      <c r="AC267" s="62"/>
    </row>
    <row r="268" spans="6:29">
      <c r="F268" s="10">
        <f>+'27'!D1</f>
        <v>46169</v>
      </c>
      <c r="G268" s="11" t="str">
        <f>+'27'!A8</f>
        <v/>
      </c>
      <c r="H268" s="11">
        <f>+'27'!B8</f>
        <v>0</v>
      </c>
      <c r="I268" s="11">
        <f>+'27'!C8</f>
        <v>0</v>
      </c>
      <c r="J268" s="11">
        <f>+'27'!D8</f>
        <v>0</v>
      </c>
      <c r="K268" s="13">
        <f>+'27'!E8</f>
        <v>0</v>
      </c>
      <c r="M268" s="10">
        <f>+'23'!D1</f>
        <v>46165</v>
      </c>
      <c r="N268" s="11" t="str">
        <f>+'23'!A24</f>
        <v/>
      </c>
      <c r="O268" s="11">
        <f>+'23'!B24</f>
        <v>0</v>
      </c>
      <c r="P268" s="11">
        <f>+'23'!C24</f>
        <v>0</v>
      </c>
      <c r="Q268" s="11">
        <f>+'23'!D24</f>
        <v>0</v>
      </c>
      <c r="R268" s="13">
        <f>+'23'!E24</f>
        <v>0</v>
      </c>
      <c r="T268" s="10">
        <f>+'14'!D1</f>
        <v>46156</v>
      </c>
      <c r="U268" s="56" t="str">
        <f>+'14'!A41</f>
        <v/>
      </c>
      <c r="V268" s="56">
        <f>+'14'!B41</f>
        <v>0</v>
      </c>
      <c r="W268" s="56">
        <f>+'14'!C41</f>
        <v>0</v>
      </c>
      <c r="X268" s="56">
        <f>+'14'!D41</f>
        <v>0</v>
      </c>
      <c r="Y268" s="61">
        <f>+'14'!E41</f>
        <v>0</v>
      </c>
      <c r="AB268" s="56"/>
      <c r="AC268" s="62"/>
    </row>
    <row r="269" spans="6:29">
      <c r="F269" s="10">
        <f>+'27'!D1</f>
        <v>46169</v>
      </c>
      <c r="G269" s="11" t="str">
        <f>+'27'!A9</f>
        <v/>
      </c>
      <c r="H269" s="11">
        <f>+'27'!B9</f>
        <v>0</v>
      </c>
      <c r="I269" s="11">
        <f>+'27'!C9</f>
        <v>0</v>
      </c>
      <c r="J269" s="11" t="str">
        <f>+'27'!D9</f>
        <v> </v>
      </c>
      <c r="K269" s="13">
        <f>+'27'!E9</f>
        <v>0</v>
      </c>
      <c r="M269" s="10">
        <f>+'23'!D1</f>
        <v>46165</v>
      </c>
      <c r="N269" s="11" t="str">
        <f>+'23'!A25</f>
        <v/>
      </c>
      <c r="O269" s="11">
        <f>+'23'!B25</f>
        <v>0</v>
      </c>
      <c r="P269" s="11">
        <f>+'23'!C25</f>
        <v>0</v>
      </c>
      <c r="Q269" s="11">
        <f>+'23'!D25</f>
        <v>0</v>
      </c>
      <c r="R269" s="13">
        <f>+'23'!E25</f>
        <v>0</v>
      </c>
      <c r="T269" s="10">
        <f>+'14'!D1</f>
        <v>46156</v>
      </c>
      <c r="U269" s="56" t="str">
        <f>+'14'!A42</f>
        <v/>
      </c>
      <c r="V269" s="56">
        <f>+'14'!B42</f>
        <v>0</v>
      </c>
      <c r="W269" s="56">
        <f>+'14'!C42</f>
        <v>0</v>
      </c>
      <c r="X269" s="56">
        <f>+'14'!D42</f>
        <v>0</v>
      </c>
      <c r="Y269" s="61">
        <f>+'14'!E42</f>
        <v>0</v>
      </c>
      <c r="AB269" s="56"/>
      <c r="AC269" s="62"/>
    </row>
    <row r="270" spans="6:29">
      <c r="F270" s="10">
        <f>+'27'!D1</f>
        <v>46169</v>
      </c>
      <c r="G270" s="11" t="str">
        <f>+'27'!A10</f>
        <v/>
      </c>
      <c r="H270" s="11">
        <f>+'27'!B10</f>
        <v>0</v>
      </c>
      <c r="I270" s="11">
        <f>+'27'!C10</f>
        <v>0</v>
      </c>
      <c r="J270" s="11">
        <f>+'27'!D10</f>
        <v>0</v>
      </c>
      <c r="K270" s="13">
        <f>+'27'!E10</f>
        <v>0</v>
      </c>
      <c r="M270" s="10">
        <f>+'23'!D1</f>
        <v>46165</v>
      </c>
      <c r="N270" s="11" t="str">
        <f>+'23'!A26</f>
        <v/>
      </c>
      <c r="O270" s="11">
        <f>+'23'!B26</f>
        <v>0</v>
      </c>
      <c r="P270" s="11">
        <f>+'23'!C26</f>
        <v>0</v>
      </c>
      <c r="Q270" s="11">
        <f>+'23'!D26</f>
        <v>0</v>
      </c>
      <c r="R270" s="13">
        <f>+'23'!E26</f>
        <v>0</v>
      </c>
      <c r="T270" s="10">
        <f>+'14'!D1</f>
        <v>46156</v>
      </c>
      <c r="U270" s="56" t="str">
        <f>+'14'!A43</f>
        <v/>
      </c>
      <c r="V270" s="56">
        <f>+'14'!B43</f>
        <v>0</v>
      </c>
      <c r="W270" s="56">
        <f>+'14'!C43</f>
        <v>0</v>
      </c>
      <c r="X270" s="56">
        <f>+'14'!D43</f>
        <v>0</v>
      </c>
      <c r="Y270" s="61">
        <f>+'14'!E43</f>
        <v>0</v>
      </c>
      <c r="AB270" s="56"/>
      <c r="AC270" s="62"/>
    </row>
    <row r="271" spans="6:29">
      <c r="F271" s="10">
        <f>+'27'!D1</f>
        <v>46169</v>
      </c>
      <c r="G271" s="11" t="str">
        <f>+'27'!A11</f>
        <v/>
      </c>
      <c r="H271" s="11">
        <f>+'27'!B11</f>
        <v>0</v>
      </c>
      <c r="I271" s="11">
        <f>+'27'!C11</f>
        <v>0</v>
      </c>
      <c r="J271" s="11">
        <f>+'27'!D11</f>
        <v>0</v>
      </c>
      <c r="K271" s="13">
        <f>+'27'!E11</f>
        <v>0</v>
      </c>
      <c r="M271" s="10">
        <f>+'23'!D1</f>
        <v>46165</v>
      </c>
      <c r="N271" s="11" t="str">
        <f>+'23'!A27</f>
        <v/>
      </c>
      <c r="O271" s="11">
        <f>+'23'!B27</f>
        <v>0</v>
      </c>
      <c r="P271" s="11">
        <f>+'23'!C27</f>
        <v>0</v>
      </c>
      <c r="Q271" s="11">
        <f>+'23'!D27</f>
        <v>0</v>
      </c>
      <c r="R271" s="13">
        <f>+'23'!E27</f>
        <v>0</v>
      </c>
      <c r="T271" s="10">
        <f>+'14'!D1</f>
        <v>46156</v>
      </c>
      <c r="U271" s="56" t="str">
        <f>+'14'!A44</f>
        <v/>
      </c>
      <c r="V271" s="56">
        <f>+'14'!B44</f>
        <v>0</v>
      </c>
      <c r="W271" s="56">
        <f>+'14'!C44</f>
        <v>0</v>
      </c>
      <c r="X271" s="56">
        <f>+'14'!D44</f>
        <v>0</v>
      </c>
      <c r="Y271" s="61">
        <f>+'14'!E44</f>
        <v>0</v>
      </c>
      <c r="AB271" s="56"/>
      <c r="AC271" s="62"/>
    </row>
    <row r="272" spans="6:29">
      <c r="F272" s="10">
        <f>+'27'!D1</f>
        <v>46169</v>
      </c>
      <c r="G272" s="11" t="str">
        <f>+'27'!A12</f>
        <v/>
      </c>
      <c r="H272" s="11">
        <f>+'27'!B12</f>
        <v>0</v>
      </c>
      <c r="I272" s="11">
        <f>+'27'!C12</f>
        <v>0</v>
      </c>
      <c r="J272" s="11">
        <f>+'27'!D12</f>
        <v>0</v>
      </c>
      <c r="K272" s="13">
        <f>+'27'!E12</f>
        <v>0</v>
      </c>
      <c r="M272" s="10">
        <f>+'23'!D1</f>
        <v>46165</v>
      </c>
      <c r="N272" s="11" t="str">
        <f>+'23'!A28</f>
        <v/>
      </c>
      <c r="O272" s="11">
        <f>+'23'!B28</f>
        <v>0</v>
      </c>
      <c r="P272" s="11">
        <f>+'23'!C28</f>
        <v>0</v>
      </c>
      <c r="Q272" s="11">
        <f>+'23'!D28</f>
        <v>0</v>
      </c>
      <c r="R272" s="13">
        <f>+'23'!E28</f>
        <v>0</v>
      </c>
      <c r="T272" s="10">
        <f>+'14'!D1</f>
        <v>46156</v>
      </c>
      <c r="U272" s="56" t="str">
        <f>+'14'!A45</f>
        <v/>
      </c>
      <c r="V272" s="56">
        <f>+'14'!B45</f>
        <v>0</v>
      </c>
      <c r="W272" s="56">
        <f>+'14'!C45</f>
        <v>0</v>
      </c>
      <c r="X272" s="56">
        <f>+'14'!D45</f>
        <v>0</v>
      </c>
      <c r="Y272" s="61">
        <f>+'14'!E45</f>
        <v>0</v>
      </c>
      <c r="AB272" s="56"/>
      <c r="AC272" s="62"/>
    </row>
    <row r="273" spans="6:29">
      <c r="F273" s="10">
        <f>+'28'!D1</f>
        <v>46170</v>
      </c>
      <c r="G273" s="11" t="str">
        <f>+'28'!A3</f>
        <v/>
      </c>
      <c r="H273" s="11">
        <f>+'28'!B3</f>
        <v>0</v>
      </c>
      <c r="I273" s="11">
        <f>+'28'!C3</f>
        <v>0</v>
      </c>
      <c r="J273" s="11">
        <f>+'28'!D3</f>
        <v>0</v>
      </c>
      <c r="K273" s="13">
        <f>+'28'!E3</f>
        <v>0</v>
      </c>
      <c r="M273" s="10">
        <f>+'23'!D1</f>
        <v>46165</v>
      </c>
      <c r="N273" s="11" t="str">
        <f>+'23'!A29</f>
        <v/>
      </c>
      <c r="O273" s="11">
        <f>+'23'!B29</f>
        <v>0</v>
      </c>
      <c r="P273" s="11">
        <f>+'23'!C29</f>
        <v>0</v>
      </c>
      <c r="Q273" s="11">
        <f>+'23'!D29</f>
        <v>0</v>
      </c>
      <c r="R273" s="13">
        <f>+'23'!E29</f>
        <v>0</v>
      </c>
      <c r="T273" s="10">
        <f>+'14'!D1</f>
        <v>46156</v>
      </c>
      <c r="U273" s="56" t="str">
        <f>+'14'!A46</f>
        <v/>
      </c>
      <c r="V273" s="56">
        <f>+'14'!B46</f>
        <v>0</v>
      </c>
      <c r="W273" s="56">
        <f>+'14'!C46</f>
        <v>0</v>
      </c>
      <c r="X273" s="56">
        <f>+'14'!D46</f>
        <v>0</v>
      </c>
      <c r="Y273" s="61">
        <f>+'14'!E46</f>
        <v>0</v>
      </c>
      <c r="AB273" s="56"/>
      <c r="AC273" s="62"/>
    </row>
    <row r="274" spans="6:29">
      <c r="F274" s="10">
        <f>+'28'!D1</f>
        <v>46170</v>
      </c>
      <c r="G274" s="11" t="str">
        <f>+'28'!A4</f>
        <v/>
      </c>
      <c r="H274" s="11">
        <f>+'28'!B4</f>
        <v>0</v>
      </c>
      <c r="I274" s="11">
        <f>+'28'!C4</f>
        <v>0</v>
      </c>
      <c r="J274" s="11">
        <f>+'28'!D4</f>
        <v>0</v>
      </c>
      <c r="K274" s="13">
        <f>+'28'!E4</f>
        <v>0</v>
      </c>
      <c r="M274" s="10">
        <f>+'23'!D1</f>
        <v>46165</v>
      </c>
      <c r="N274" s="11" t="str">
        <f>+'23'!A30</f>
        <v/>
      </c>
      <c r="O274" s="11">
        <f>+'23'!B30</f>
        <v>0</v>
      </c>
      <c r="P274" s="11">
        <f>+'23'!C30</f>
        <v>0</v>
      </c>
      <c r="Q274" s="11">
        <f>+'23'!D30</f>
        <v>0</v>
      </c>
      <c r="R274" s="13">
        <f>+'23'!E30</f>
        <v>0</v>
      </c>
      <c r="T274" s="10">
        <f>+'14'!D1</f>
        <v>46156</v>
      </c>
      <c r="U274" s="56" t="str">
        <f>+'14'!A47</f>
        <v/>
      </c>
      <c r="V274" s="56">
        <f>+'14'!B47</f>
        <v>0</v>
      </c>
      <c r="W274" s="56">
        <f>+'14'!C47</f>
        <v>0</v>
      </c>
      <c r="X274" s="56">
        <f>+'14'!D47</f>
        <v>0</v>
      </c>
      <c r="Y274" s="61">
        <f>+'14'!E47</f>
        <v>0</v>
      </c>
      <c r="AB274" s="56"/>
      <c r="AC274" s="62"/>
    </row>
    <row r="275" spans="6:29">
      <c r="F275" s="10">
        <f>+'28'!D1</f>
        <v>46170</v>
      </c>
      <c r="G275" s="11" t="str">
        <f>+'28'!A5</f>
        <v/>
      </c>
      <c r="H275" s="11">
        <f>+'28'!B5</f>
        <v>0</v>
      </c>
      <c r="I275" s="11">
        <f>+'28'!C5</f>
        <v>0</v>
      </c>
      <c r="J275" s="11">
        <f>+'28'!D5</f>
        <v>0</v>
      </c>
      <c r="K275" s="13">
        <f>+'28'!E5</f>
        <v>0</v>
      </c>
      <c r="M275" s="10">
        <f>+'23'!D1</f>
        <v>46165</v>
      </c>
      <c r="N275" s="11" t="str">
        <f>+'23'!A31</f>
        <v/>
      </c>
      <c r="O275" s="11">
        <f>+'23'!B31</f>
        <v>0</v>
      </c>
      <c r="P275" s="11">
        <f>+'23'!C31</f>
        <v>0</v>
      </c>
      <c r="Q275" s="11">
        <f>+'23'!D31</f>
        <v>0</v>
      </c>
      <c r="R275" s="13">
        <f>+'23'!E31</f>
        <v>0</v>
      </c>
      <c r="T275" s="10">
        <f>+'14'!D1</f>
        <v>46156</v>
      </c>
      <c r="U275" s="56" t="str">
        <f>+'14'!A48</f>
        <v/>
      </c>
      <c r="V275" s="56">
        <f>+'14'!B48</f>
        <v>0</v>
      </c>
      <c r="W275" s="56">
        <f>+'14'!C48</f>
        <v>0</v>
      </c>
      <c r="X275" s="56">
        <f>+'14'!D48</f>
        <v>0</v>
      </c>
      <c r="Y275" s="61">
        <f>+'14'!E48</f>
        <v>0</v>
      </c>
      <c r="AB275" s="56"/>
      <c r="AC275" s="62"/>
    </row>
    <row r="276" spans="6:29">
      <c r="F276" s="10">
        <f>+'28'!D1</f>
        <v>46170</v>
      </c>
      <c r="G276" s="11" t="str">
        <f>+'28'!A6</f>
        <v/>
      </c>
      <c r="H276" s="11">
        <f>+'28'!B6</f>
        <v>0</v>
      </c>
      <c r="I276" s="11">
        <f>+'28'!C6</f>
        <v>0</v>
      </c>
      <c r="J276" s="11">
        <f>+'28'!D6</f>
        <v>0</v>
      </c>
      <c r="K276" s="13">
        <f>+'28'!E6</f>
        <v>0</v>
      </c>
      <c r="M276" s="10">
        <f>+'23'!D1</f>
        <v>46165</v>
      </c>
      <c r="N276" s="11" t="str">
        <f>+'23'!A32</f>
        <v/>
      </c>
      <c r="O276" s="11">
        <f>+'23'!B32</f>
        <v>0</v>
      </c>
      <c r="P276" s="11">
        <f>+'23'!C32</f>
        <v>0</v>
      </c>
      <c r="Q276" s="11">
        <f>+'23'!D32</f>
        <v>0</v>
      </c>
      <c r="R276" s="13">
        <f>+'23'!E32</f>
        <v>0</v>
      </c>
      <c r="T276" s="10">
        <f>+'14'!D1</f>
        <v>46156</v>
      </c>
      <c r="U276" s="56" t="str">
        <f>+'14'!A49</f>
        <v/>
      </c>
      <c r="V276" s="56">
        <f>+'14'!B49</f>
        <v>0</v>
      </c>
      <c r="W276" s="56">
        <f>+'14'!C49</f>
        <v>0</v>
      </c>
      <c r="X276" s="56">
        <f>+'14'!D49</f>
        <v>0</v>
      </c>
      <c r="Y276" s="61">
        <f>+'14'!E49</f>
        <v>0</v>
      </c>
      <c r="AB276" s="56"/>
      <c r="AC276" s="62"/>
    </row>
    <row r="277" spans="6:29">
      <c r="F277" s="10">
        <f>+'28'!D1</f>
        <v>46170</v>
      </c>
      <c r="G277" s="11" t="str">
        <f>+'28'!A7</f>
        <v/>
      </c>
      <c r="H277" s="11">
        <f>+'28'!B7</f>
        <v>0</v>
      </c>
      <c r="I277" s="11">
        <f>+'28'!C7</f>
        <v>0</v>
      </c>
      <c r="J277" s="11">
        <f>+'28'!D7</f>
        <v>0</v>
      </c>
      <c r="K277" s="13">
        <f>+'28'!E7</f>
        <v>0</v>
      </c>
      <c r="M277" s="10">
        <f>+'23'!D1</f>
        <v>46165</v>
      </c>
      <c r="N277" s="11" t="str">
        <f>+'23'!A33</f>
        <v/>
      </c>
      <c r="O277" s="11">
        <f>+'23'!B33</f>
        <v>0</v>
      </c>
      <c r="P277" s="11">
        <f>+'23'!C33</f>
        <v>0</v>
      </c>
      <c r="Q277" s="11">
        <f>+'23'!D33</f>
        <v>0</v>
      </c>
      <c r="R277" s="13">
        <f>+'23'!E33</f>
        <v>0</v>
      </c>
      <c r="T277" s="10">
        <f>+'14'!D1</f>
        <v>46156</v>
      </c>
      <c r="U277" s="56" t="str">
        <f>+'14'!A50</f>
        <v/>
      </c>
      <c r="V277" s="56">
        <f>+'14'!B50</f>
        <v>0</v>
      </c>
      <c r="W277" s="56">
        <f>+'14'!C50</f>
        <v>0</v>
      </c>
      <c r="X277" s="56">
        <f>+'14'!D50</f>
        <v>0</v>
      </c>
      <c r="Y277" s="61">
        <f>+'14'!E50</f>
        <v>0</v>
      </c>
      <c r="AB277" s="56"/>
      <c r="AC277" s="62"/>
    </row>
    <row r="278" spans="6:29">
      <c r="F278" s="10">
        <f>+'28'!D1</f>
        <v>46170</v>
      </c>
      <c r="G278" s="11" t="str">
        <f>+'28'!A8</f>
        <v/>
      </c>
      <c r="H278" s="11">
        <f>+'28'!B8</f>
        <v>0</v>
      </c>
      <c r="I278" s="11">
        <f>+'28'!C8</f>
        <v>0</v>
      </c>
      <c r="J278" s="11">
        <f>+'28'!D8</f>
        <v>0</v>
      </c>
      <c r="K278" s="13">
        <f>+'28'!E8</f>
        <v>0</v>
      </c>
      <c r="M278" s="10">
        <f>+'23'!D1</f>
        <v>46165</v>
      </c>
      <c r="N278" s="11" t="str">
        <f>+'23'!A34</f>
        <v/>
      </c>
      <c r="O278" s="11">
        <f>+'23'!B34</f>
        <v>0</v>
      </c>
      <c r="P278" s="11">
        <f>+'23'!C34</f>
        <v>0</v>
      </c>
      <c r="Q278" s="11">
        <f>+'23'!D34</f>
        <v>0</v>
      </c>
      <c r="R278" s="13">
        <f>+'23'!E34</f>
        <v>0</v>
      </c>
      <c r="T278" s="10">
        <f>+'14'!D1</f>
        <v>46156</v>
      </c>
      <c r="U278" s="56" t="str">
        <f>+'14'!A51</f>
        <v/>
      </c>
      <c r="V278" s="56">
        <f>+'14'!B51</f>
        <v>0</v>
      </c>
      <c r="W278" s="56">
        <f>+'14'!C51</f>
        <v>0</v>
      </c>
      <c r="X278" s="56">
        <f>+'14'!D51</f>
        <v>0</v>
      </c>
      <c r="Y278" s="61">
        <f>+'14'!E51</f>
        <v>0</v>
      </c>
      <c r="AB278" s="56"/>
      <c r="AC278" s="62"/>
    </row>
    <row r="279" spans="6:29">
      <c r="F279" s="10">
        <f>+'28'!D1</f>
        <v>46170</v>
      </c>
      <c r="G279" s="11" t="str">
        <f>+'28'!A9</f>
        <v/>
      </c>
      <c r="H279" s="11">
        <f>+'28'!B9</f>
        <v>0</v>
      </c>
      <c r="I279" s="11">
        <f>+'28'!C9</f>
        <v>0</v>
      </c>
      <c r="J279" s="11" t="str">
        <f>+'28'!D9</f>
        <v> </v>
      </c>
      <c r="K279" s="13">
        <f>+'28'!E9</f>
        <v>0</v>
      </c>
      <c r="M279" s="10">
        <f>+'24'!D1</f>
        <v>46166</v>
      </c>
      <c r="N279" s="11" t="str">
        <f>+'24'!A23</f>
        <v/>
      </c>
      <c r="O279" s="11">
        <f>+'24'!B23</f>
        <v>0</v>
      </c>
      <c r="P279" s="11">
        <f>+'24'!C23</f>
        <v>0</v>
      </c>
      <c r="Q279" s="11">
        <f>+'24'!D23</f>
        <v>0</v>
      </c>
      <c r="R279" s="13">
        <f>+'24'!E23</f>
        <v>0</v>
      </c>
      <c r="T279" s="10">
        <f>+'14'!D1</f>
        <v>46156</v>
      </c>
      <c r="U279" s="56" t="str">
        <f>+'14'!A52</f>
        <v/>
      </c>
      <c r="V279" s="56">
        <f>+'14'!B52</f>
        <v>0</v>
      </c>
      <c r="W279" s="56">
        <f>+'14'!C52</f>
        <v>0</v>
      </c>
      <c r="X279" s="56">
        <f>+'14'!D52</f>
        <v>0</v>
      </c>
      <c r="Y279" s="61">
        <f>+'14'!E52</f>
        <v>0</v>
      </c>
      <c r="AB279" s="56"/>
      <c r="AC279" s="62"/>
    </row>
    <row r="280" spans="6:29">
      <c r="F280" s="10">
        <f>+'28'!D1</f>
        <v>46170</v>
      </c>
      <c r="G280" s="11" t="str">
        <f>+'28'!A10</f>
        <v/>
      </c>
      <c r="H280" s="11">
        <f>+'28'!B10</f>
        <v>0</v>
      </c>
      <c r="I280" s="11">
        <f>+'28'!C10</f>
        <v>0</v>
      </c>
      <c r="J280" s="11">
        <f>+'28'!D10</f>
        <v>0</v>
      </c>
      <c r="K280" s="13">
        <f>+'28'!E10</f>
        <v>0</v>
      </c>
      <c r="M280" s="10">
        <f>+'24'!D1</f>
        <v>46166</v>
      </c>
      <c r="N280" s="11" t="str">
        <f>+'24'!A24</f>
        <v/>
      </c>
      <c r="O280" s="11">
        <f>+'24'!B24</f>
        <v>0</v>
      </c>
      <c r="P280" s="11">
        <f>+'24'!C24</f>
        <v>0</v>
      </c>
      <c r="Q280" s="11">
        <f>+'24'!D24</f>
        <v>0</v>
      </c>
      <c r="R280" s="13">
        <f>+'24'!E24</f>
        <v>0</v>
      </c>
      <c r="T280" s="10">
        <f>+'14'!D1</f>
        <v>46156</v>
      </c>
      <c r="U280" s="56" t="str">
        <f>+'14'!A53</f>
        <v/>
      </c>
      <c r="V280" s="56">
        <f>+'14'!B53</f>
        <v>0</v>
      </c>
      <c r="W280" s="56">
        <f>+'14'!C53</f>
        <v>0</v>
      </c>
      <c r="X280" s="56">
        <f>+'14'!D53</f>
        <v>0</v>
      </c>
      <c r="Y280" s="61">
        <f>+'14'!E53</f>
        <v>0</v>
      </c>
      <c r="AB280" s="56"/>
      <c r="AC280" s="62"/>
    </row>
    <row r="281" spans="6:29">
      <c r="F281" s="10">
        <f>+'28'!D1</f>
        <v>46170</v>
      </c>
      <c r="G281" s="11" t="str">
        <f>+'28'!A11</f>
        <v/>
      </c>
      <c r="H281" s="11">
        <f>+'28'!B11</f>
        <v>0</v>
      </c>
      <c r="I281" s="11">
        <f>+'28'!C11</f>
        <v>0</v>
      </c>
      <c r="J281" s="11">
        <f>+'28'!D11</f>
        <v>0</v>
      </c>
      <c r="K281" s="13">
        <f>+'28'!E11</f>
        <v>0</v>
      </c>
      <c r="M281" s="10">
        <f>+'24'!D1</f>
        <v>46166</v>
      </c>
      <c r="N281" s="11" t="str">
        <f>+'24'!A25</f>
        <v/>
      </c>
      <c r="O281" s="11">
        <f>+'24'!B25</f>
        <v>0</v>
      </c>
      <c r="P281" s="11">
        <f>+'24'!C25</f>
        <v>0</v>
      </c>
      <c r="Q281" s="11">
        <f>+'24'!D25</f>
        <v>0</v>
      </c>
      <c r="R281" s="13">
        <f>+'24'!E25</f>
        <v>0</v>
      </c>
      <c r="T281" s="10">
        <f>+'14'!D1</f>
        <v>46156</v>
      </c>
      <c r="U281" s="56" t="str">
        <f>+'14'!A54</f>
        <v/>
      </c>
      <c r="V281" s="56">
        <f>+'14'!B54</f>
        <v>0</v>
      </c>
      <c r="W281" s="56">
        <f>+'14'!C54</f>
        <v>0</v>
      </c>
      <c r="X281" s="56">
        <f>+'14'!D54</f>
        <v>0</v>
      </c>
      <c r="Y281" s="61">
        <f>+'14'!E54</f>
        <v>0</v>
      </c>
      <c r="AB281" s="56"/>
      <c r="AC281" s="62"/>
    </row>
    <row r="282" spans="6:29">
      <c r="F282" s="10">
        <f>+'28'!D1</f>
        <v>46170</v>
      </c>
      <c r="G282" s="11" t="str">
        <f>+'28'!A12</f>
        <v/>
      </c>
      <c r="H282" s="11">
        <f>+'28'!B12</f>
        <v>0</v>
      </c>
      <c r="I282" s="11">
        <f>+'28'!C12</f>
        <v>0</v>
      </c>
      <c r="J282" s="11">
        <f>+'28'!D12</f>
        <v>0</v>
      </c>
      <c r="K282" s="13">
        <f>+'28'!E12</f>
        <v>0</v>
      </c>
      <c r="M282" s="10">
        <f>+'24'!D1</f>
        <v>46166</v>
      </c>
      <c r="N282" s="11" t="str">
        <f>+'24'!A26</f>
        <v/>
      </c>
      <c r="O282" s="11">
        <f>+'24'!B26</f>
        <v>0</v>
      </c>
      <c r="P282" s="11">
        <f>+'24'!C26</f>
        <v>0</v>
      </c>
      <c r="Q282" s="11">
        <f>+'24'!D26</f>
        <v>0</v>
      </c>
      <c r="R282" s="13">
        <f>+'24'!E26</f>
        <v>0</v>
      </c>
      <c r="T282" s="10">
        <f>+'14'!D1</f>
        <v>46156</v>
      </c>
      <c r="U282" s="56" t="str">
        <f>+'14'!A55</f>
        <v/>
      </c>
      <c r="V282" s="56">
        <f>+'14'!B55</f>
        <v>0</v>
      </c>
      <c r="W282" s="56">
        <f>+'14'!C55</f>
        <v>0</v>
      </c>
      <c r="X282" s="56">
        <f>+'14'!D55</f>
        <v>0</v>
      </c>
      <c r="Y282" s="61">
        <f>+'14'!E55</f>
        <v>0</v>
      </c>
      <c r="AB282" s="56"/>
      <c r="AC282" s="62"/>
    </row>
    <row r="283" spans="6:29">
      <c r="F283" s="10">
        <f>+'29'!D1</f>
        <v>46171</v>
      </c>
      <c r="G283" s="11" t="str">
        <f>+'29'!A3</f>
        <v/>
      </c>
      <c r="H283" s="11">
        <f>+'29'!B3</f>
        <v>0</v>
      </c>
      <c r="I283" s="11">
        <f>+'29'!C3</f>
        <v>0</v>
      </c>
      <c r="J283" s="11">
        <f>+'29'!D3</f>
        <v>0</v>
      </c>
      <c r="K283" s="13">
        <f>+'29'!E3</f>
        <v>0</v>
      </c>
      <c r="M283" s="10">
        <f>+'24'!D1</f>
        <v>46166</v>
      </c>
      <c r="N283" s="11" t="str">
        <f>+'24'!A27</f>
        <v/>
      </c>
      <c r="O283" s="11">
        <f>+'24'!B27</f>
        <v>0</v>
      </c>
      <c r="P283" s="11">
        <f>+'24'!C27</f>
        <v>0</v>
      </c>
      <c r="Q283" s="11">
        <f>+'24'!D27</f>
        <v>0</v>
      </c>
      <c r="R283" s="13">
        <f>+'24'!E27</f>
        <v>0</v>
      </c>
      <c r="T283" s="10">
        <f>+'15'!D1</f>
        <v>46157</v>
      </c>
      <c r="U283" s="56" t="str">
        <f>+'15'!A36</f>
        <v/>
      </c>
      <c r="V283" s="56">
        <f>+'15'!B36</f>
        <v>0</v>
      </c>
      <c r="W283" s="56">
        <f>+'15'!C36</f>
        <v>0</v>
      </c>
      <c r="X283" s="56">
        <f>+'15'!D36</f>
        <v>0</v>
      </c>
      <c r="Y283" s="61">
        <f>+'15'!E36</f>
        <v>0</v>
      </c>
      <c r="AB283" s="56"/>
      <c r="AC283" s="62"/>
    </row>
    <row r="284" spans="6:29">
      <c r="F284" s="10">
        <f>+'29'!D1</f>
        <v>46171</v>
      </c>
      <c r="G284" s="11" t="str">
        <f>+'29'!A4</f>
        <v/>
      </c>
      <c r="H284" s="11">
        <f>+'29'!B4</f>
        <v>0</v>
      </c>
      <c r="I284" s="11">
        <f>+'29'!C4</f>
        <v>0</v>
      </c>
      <c r="J284" s="11">
        <f>+'29'!D4</f>
        <v>0</v>
      </c>
      <c r="K284" s="13">
        <f>+'29'!E4</f>
        <v>0</v>
      </c>
      <c r="M284" s="10">
        <f>+'24'!D1</f>
        <v>46166</v>
      </c>
      <c r="N284" s="11" t="str">
        <f>+'24'!A28</f>
        <v/>
      </c>
      <c r="O284" s="11">
        <f>+'24'!B28</f>
        <v>0</v>
      </c>
      <c r="P284" s="11">
        <f>+'24'!C28</f>
        <v>0</v>
      </c>
      <c r="Q284" s="11">
        <f>+'24'!D28</f>
        <v>0</v>
      </c>
      <c r="R284" s="13">
        <f>+'24'!E28</f>
        <v>0</v>
      </c>
      <c r="T284" s="10">
        <f>+'15'!D1</f>
        <v>46157</v>
      </c>
      <c r="U284" s="56" t="str">
        <f>+'15'!A37</f>
        <v/>
      </c>
      <c r="V284" s="56">
        <f>+'15'!B37</f>
        <v>0</v>
      </c>
      <c r="W284" s="56">
        <f>+'15'!C37</f>
        <v>0</v>
      </c>
      <c r="X284" s="56">
        <f>+'15'!D37</f>
        <v>0</v>
      </c>
      <c r="Y284" s="61">
        <f>+'15'!E37</f>
        <v>0</v>
      </c>
      <c r="AB284" s="56"/>
      <c r="AC284" s="62"/>
    </row>
    <row r="285" spans="6:29">
      <c r="F285" s="10">
        <f>+'29'!D1</f>
        <v>46171</v>
      </c>
      <c r="G285" s="11" t="str">
        <f>+'29'!A5</f>
        <v/>
      </c>
      <c r="H285" s="11">
        <f>+'29'!B5</f>
        <v>0</v>
      </c>
      <c r="I285" s="11">
        <f>+'29'!C5</f>
        <v>0</v>
      </c>
      <c r="J285" s="11">
        <f>+'29'!D5</f>
        <v>0</v>
      </c>
      <c r="K285" s="13">
        <f>+'29'!E5</f>
        <v>0</v>
      </c>
      <c r="M285" s="10">
        <f>+'24'!D1</f>
        <v>46166</v>
      </c>
      <c r="N285" s="11" t="str">
        <f>+'24'!A29</f>
        <v/>
      </c>
      <c r="O285" s="11">
        <f>+'24'!B29</f>
        <v>0</v>
      </c>
      <c r="P285" s="11">
        <f>+'24'!C29</f>
        <v>0</v>
      </c>
      <c r="Q285" s="11">
        <f>+'24'!D29</f>
        <v>0</v>
      </c>
      <c r="R285" s="13">
        <f>+'24'!E29</f>
        <v>0</v>
      </c>
      <c r="T285" s="10">
        <f>+'15'!D1</f>
        <v>46157</v>
      </c>
      <c r="U285" s="56" t="str">
        <f>+'15'!A38</f>
        <v/>
      </c>
      <c r="V285" s="56">
        <f>+'15'!B38</f>
        <v>0</v>
      </c>
      <c r="W285" s="56">
        <f>+'15'!C38</f>
        <v>0</v>
      </c>
      <c r="X285" s="56">
        <f>+'15'!D38</f>
        <v>0</v>
      </c>
      <c r="Y285" s="61">
        <f>+'15'!E38</f>
        <v>0</v>
      </c>
      <c r="AB285" s="56"/>
      <c r="AC285" s="62"/>
    </row>
    <row r="286" spans="6:29">
      <c r="F286" s="10">
        <f>+'29'!D1</f>
        <v>46171</v>
      </c>
      <c r="G286" s="11" t="str">
        <f>+'29'!A6</f>
        <v/>
      </c>
      <c r="H286" s="11">
        <f>+'29'!B6</f>
        <v>0</v>
      </c>
      <c r="I286" s="11">
        <f>+'29'!C6</f>
        <v>0</v>
      </c>
      <c r="J286" s="11">
        <f>+'29'!D6</f>
        <v>0</v>
      </c>
      <c r="K286" s="13">
        <f>+'29'!E6</f>
        <v>0</v>
      </c>
      <c r="M286" s="10">
        <f>+'24'!D1</f>
        <v>46166</v>
      </c>
      <c r="N286" s="11" t="str">
        <f>+'24'!A30</f>
        <v/>
      </c>
      <c r="O286" s="11">
        <f>+'24'!B30</f>
        <v>0</v>
      </c>
      <c r="P286" s="11">
        <f>+'24'!C30</f>
        <v>0</v>
      </c>
      <c r="Q286" s="11">
        <f>+'24'!D30</f>
        <v>0</v>
      </c>
      <c r="R286" s="13">
        <f>+'24'!E30</f>
        <v>0</v>
      </c>
      <c r="T286" s="10">
        <f>+'15'!D1</f>
        <v>46157</v>
      </c>
      <c r="U286" s="56" t="str">
        <f>+'15'!A39</f>
        <v/>
      </c>
      <c r="V286" s="56">
        <f>+'15'!B39</f>
        <v>0</v>
      </c>
      <c r="W286" s="56">
        <f>+'15'!C39</f>
        <v>0</v>
      </c>
      <c r="X286" s="56">
        <f>+'15'!D39</f>
        <v>0</v>
      </c>
      <c r="Y286" s="61">
        <f>+'15'!E39</f>
        <v>0</v>
      </c>
      <c r="AB286" s="56"/>
      <c r="AC286" s="62"/>
    </row>
    <row r="287" spans="6:29">
      <c r="F287" s="10">
        <f>+'29'!D1</f>
        <v>46171</v>
      </c>
      <c r="G287" s="11" t="str">
        <f>+'29'!A7</f>
        <v/>
      </c>
      <c r="H287" s="11">
        <f>+'29'!B7</f>
        <v>0</v>
      </c>
      <c r="I287" s="11">
        <f>+'29'!C7</f>
        <v>0</v>
      </c>
      <c r="J287" s="11">
        <f>+'29'!D7</f>
        <v>0</v>
      </c>
      <c r="K287" s="13">
        <f>+'29'!E7</f>
        <v>0</v>
      </c>
      <c r="M287" s="10">
        <f>+'24'!D1</f>
        <v>46166</v>
      </c>
      <c r="N287" s="11" t="str">
        <f>+'24'!A31</f>
        <v/>
      </c>
      <c r="O287" s="11">
        <f>+'24'!B31</f>
        <v>0</v>
      </c>
      <c r="P287" s="11">
        <f>+'24'!C31</f>
        <v>0</v>
      </c>
      <c r="Q287" s="11">
        <f>+'24'!D31</f>
        <v>0</v>
      </c>
      <c r="R287" s="13">
        <f>+'24'!E31</f>
        <v>0</v>
      </c>
      <c r="T287" s="10">
        <f>+'15'!D1</f>
        <v>46157</v>
      </c>
      <c r="U287" s="56" t="str">
        <f>+'15'!A40</f>
        <v/>
      </c>
      <c r="V287" s="56">
        <f>+'15'!B40</f>
        <v>0</v>
      </c>
      <c r="W287" s="56">
        <f>+'15'!C40</f>
        <v>0</v>
      </c>
      <c r="X287" s="56">
        <f>+'15'!D40</f>
        <v>0</v>
      </c>
      <c r="Y287" s="61">
        <f>+'15'!E40</f>
        <v>0</v>
      </c>
      <c r="AB287" s="56"/>
      <c r="AC287" s="62"/>
    </row>
    <row r="288" spans="6:29">
      <c r="F288" s="10">
        <f>+'29'!D1</f>
        <v>46171</v>
      </c>
      <c r="G288" s="11" t="str">
        <f>+'29'!A8</f>
        <v/>
      </c>
      <c r="H288" s="11">
        <f>+'29'!B8</f>
        <v>0</v>
      </c>
      <c r="I288" s="11">
        <f>+'29'!C8</f>
        <v>0</v>
      </c>
      <c r="J288" s="11">
        <f>+'29'!D8</f>
        <v>0</v>
      </c>
      <c r="K288" s="13">
        <f>+'29'!E8</f>
        <v>0</v>
      </c>
      <c r="M288" s="10">
        <f>+'24'!D1</f>
        <v>46166</v>
      </c>
      <c r="N288" s="11" t="str">
        <f>+'24'!A32</f>
        <v/>
      </c>
      <c r="O288" s="11">
        <f>+'24'!B32</f>
        <v>0</v>
      </c>
      <c r="P288" s="11">
        <f>+'24'!C32</f>
        <v>0</v>
      </c>
      <c r="Q288" s="11">
        <f>+'24'!D32</f>
        <v>0</v>
      </c>
      <c r="R288" s="13">
        <f>+'24'!E32</f>
        <v>0</v>
      </c>
      <c r="T288" s="10">
        <f>+'15'!D1</f>
        <v>46157</v>
      </c>
      <c r="U288" s="56" t="str">
        <f>+'15'!A41</f>
        <v/>
      </c>
      <c r="V288" s="56">
        <f>+'15'!B41</f>
        <v>0</v>
      </c>
      <c r="W288" s="56">
        <f>+'15'!C41</f>
        <v>0</v>
      </c>
      <c r="X288" s="56">
        <f>+'15'!D41</f>
        <v>0</v>
      </c>
      <c r="Y288" s="61">
        <f>+'15'!E41</f>
        <v>0</v>
      </c>
      <c r="AB288" s="56"/>
      <c r="AC288" s="62"/>
    </row>
    <row r="289" spans="6:29">
      <c r="F289" s="10">
        <f>+'29'!D1</f>
        <v>46171</v>
      </c>
      <c r="G289" s="11" t="str">
        <f>+'29'!A9</f>
        <v/>
      </c>
      <c r="H289" s="11">
        <f>+'29'!B9</f>
        <v>0</v>
      </c>
      <c r="I289" s="11">
        <f>+'29'!C9</f>
        <v>0</v>
      </c>
      <c r="J289" s="11" t="str">
        <f>+'29'!D9</f>
        <v> </v>
      </c>
      <c r="K289" s="13">
        <f>+'29'!E9</f>
        <v>0</v>
      </c>
      <c r="M289" s="10">
        <f>+'24'!D1</f>
        <v>46166</v>
      </c>
      <c r="N289" s="11" t="str">
        <f>+'24'!A33</f>
        <v/>
      </c>
      <c r="O289" s="11">
        <f>+'24'!B33</f>
        <v>0</v>
      </c>
      <c r="P289" s="11">
        <f>+'24'!C33</f>
        <v>0</v>
      </c>
      <c r="Q289" s="11">
        <f>+'24'!D33</f>
        <v>0</v>
      </c>
      <c r="R289" s="13">
        <f>+'24'!E33</f>
        <v>0</v>
      </c>
      <c r="T289" s="10">
        <f>+'15'!D1</f>
        <v>46157</v>
      </c>
      <c r="U289" s="56" t="str">
        <f>+'15'!A42</f>
        <v/>
      </c>
      <c r="V289" s="56">
        <f>+'15'!B42</f>
        <v>0</v>
      </c>
      <c r="W289" s="56">
        <f>+'15'!C42</f>
        <v>0</v>
      </c>
      <c r="X289" s="56">
        <f>+'15'!D42</f>
        <v>0</v>
      </c>
      <c r="Y289" s="61">
        <f>+'15'!E42</f>
        <v>0</v>
      </c>
      <c r="AB289" s="56"/>
      <c r="AC289" s="62"/>
    </row>
    <row r="290" spans="6:29">
      <c r="F290" s="10">
        <f>+'29'!D1</f>
        <v>46171</v>
      </c>
      <c r="G290" s="11" t="str">
        <f>+'29'!A10</f>
        <v/>
      </c>
      <c r="H290" s="11">
        <f>+'29'!B10</f>
        <v>0</v>
      </c>
      <c r="I290" s="11">
        <f>+'29'!C10</f>
        <v>0</v>
      </c>
      <c r="J290" s="11">
        <f>+'29'!D10</f>
        <v>0</v>
      </c>
      <c r="K290" s="13">
        <f>+'29'!E10</f>
        <v>0</v>
      </c>
      <c r="M290" s="10">
        <f>+'24'!D1</f>
        <v>46166</v>
      </c>
      <c r="N290" s="11" t="str">
        <f>+'24'!A34</f>
        <v/>
      </c>
      <c r="O290" s="11">
        <f>+'24'!B34</f>
        <v>0</v>
      </c>
      <c r="P290" s="11">
        <f>+'24'!C34</f>
        <v>0</v>
      </c>
      <c r="Q290" s="11">
        <f>+'24'!D34</f>
        <v>0</v>
      </c>
      <c r="R290" s="13">
        <f>+'24'!E34</f>
        <v>0</v>
      </c>
      <c r="T290" s="10">
        <f>+'15'!D1</f>
        <v>46157</v>
      </c>
      <c r="U290" s="56" t="str">
        <f>+'15'!A43</f>
        <v/>
      </c>
      <c r="V290" s="56">
        <f>+'15'!B43</f>
        <v>0</v>
      </c>
      <c r="W290" s="56">
        <f>+'15'!C43</f>
        <v>0</v>
      </c>
      <c r="X290" s="56">
        <f>+'15'!D43</f>
        <v>0</v>
      </c>
      <c r="Y290" s="61">
        <f>+'15'!E43</f>
        <v>0</v>
      </c>
      <c r="AB290" s="56"/>
      <c r="AC290" s="62"/>
    </row>
    <row r="291" spans="6:29">
      <c r="F291" s="10">
        <f>+'29'!D1</f>
        <v>46171</v>
      </c>
      <c r="G291" s="11" t="str">
        <f>+'29'!A11</f>
        <v/>
      </c>
      <c r="H291" s="11">
        <f>+'29'!B11</f>
        <v>0</v>
      </c>
      <c r="I291" s="11">
        <f>+'29'!C11</f>
        <v>0</v>
      </c>
      <c r="J291" s="11">
        <f>+'29'!D11</f>
        <v>0</v>
      </c>
      <c r="K291" s="13">
        <f>+'29'!E11</f>
        <v>0</v>
      </c>
      <c r="M291" s="10">
        <f>+'25'!D1</f>
        <v>46167</v>
      </c>
      <c r="N291" s="11" t="str">
        <f>+'25'!A23</f>
        <v/>
      </c>
      <c r="O291" s="11">
        <f>+'25'!B23</f>
        <v>0</v>
      </c>
      <c r="P291" s="11">
        <f>+'25'!C23</f>
        <v>0</v>
      </c>
      <c r="Q291" s="11">
        <f>+'25'!D23</f>
        <v>0</v>
      </c>
      <c r="R291" s="13">
        <f>+'25'!E23</f>
        <v>0</v>
      </c>
      <c r="T291" s="10">
        <f>+'15'!D1</f>
        <v>46157</v>
      </c>
      <c r="U291" s="56" t="str">
        <f>+'15'!A44</f>
        <v/>
      </c>
      <c r="V291" s="56">
        <f>+'15'!B44</f>
        <v>0</v>
      </c>
      <c r="W291" s="56">
        <f>+'15'!C44</f>
        <v>0</v>
      </c>
      <c r="X291" s="56">
        <f>+'15'!D44</f>
        <v>0</v>
      </c>
      <c r="Y291" s="61">
        <f>+'15'!E44</f>
        <v>0</v>
      </c>
      <c r="AB291" s="56"/>
      <c r="AC291" s="62"/>
    </row>
    <row r="292" spans="6:29">
      <c r="F292" s="10">
        <f>+'29'!D1</f>
        <v>46171</v>
      </c>
      <c r="G292" s="11" t="str">
        <f>+'29'!A12</f>
        <v/>
      </c>
      <c r="H292" s="11">
        <f>+'29'!B12</f>
        <v>0</v>
      </c>
      <c r="I292" s="11">
        <f>+'29'!C12</f>
        <v>0</v>
      </c>
      <c r="J292" s="11">
        <f>+'29'!D12</f>
        <v>0</v>
      </c>
      <c r="K292" s="13">
        <f>+'29'!E12</f>
        <v>0</v>
      </c>
      <c r="M292" s="10">
        <f>+'25'!D1</f>
        <v>46167</v>
      </c>
      <c r="N292" s="11" t="str">
        <f>+'25'!A24</f>
        <v/>
      </c>
      <c r="O292" s="11">
        <f>+'25'!B24</f>
        <v>0</v>
      </c>
      <c r="P292" s="11">
        <f>+'25'!C24</f>
        <v>0</v>
      </c>
      <c r="Q292" s="11">
        <f>+'25'!D24</f>
        <v>0</v>
      </c>
      <c r="R292" s="13">
        <f>+'25'!E24</f>
        <v>0</v>
      </c>
      <c r="T292" s="10">
        <f>+'15'!D1</f>
        <v>46157</v>
      </c>
      <c r="U292" s="56" t="str">
        <f>+'15'!A45</f>
        <v/>
      </c>
      <c r="V292" s="56">
        <f>+'15'!B45</f>
        <v>0</v>
      </c>
      <c r="W292" s="56">
        <f>+'15'!C45</f>
        <v>0</v>
      </c>
      <c r="X292" s="56">
        <f>+'15'!D45</f>
        <v>0</v>
      </c>
      <c r="Y292" s="61">
        <f>+'15'!E45</f>
        <v>0</v>
      </c>
      <c r="AB292" s="56"/>
      <c r="AC292" s="62"/>
    </row>
    <row r="293" spans="6:29">
      <c r="F293" s="10">
        <f>+'30'!D1</f>
        <v>46172</v>
      </c>
      <c r="G293" s="11" t="str">
        <f>+'30'!A3</f>
        <v/>
      </c>
      <c r="H293" s="11">
        <f>+'30'!B3</f>
        <v>0</v>
      </c>
      <c r="I293" s="11">
        <f>+'30'!C3</f>
        <v>0</v>
      </c>
      <c r="J293" s="11">
        <f>+'30'!D3</f>
        <v>0</v>
      </c>
      <c r="K293" s="13">
        <f>+'30'!E3</f>
        <v>0</v>
      </c>
      <c r="M293" s="10">
        <f>+'25'!D1</f>
        <v>46167</v>
      </c>
      <c r="N293" s="11" t="str">
        <f>+'25'!A25</f>
        <v/>
      </c>
      <c r="O293" s="11">
        <f>+'25'!B25</f>
        <v>0</v>
      </c>
      <c r="P293" s="11">
        <f>+'25'!C25</f>
        <v>0</v>
      </c>
      <c r="Q293" s="11">
        <f>+'25'!D25</f>
        <v>0</v>
      </c>
      <c r="R293" s="13">
        <f>+'25'!E25</f>
        <v>0</v>
      </c>
      <c r="T293" s="10">
        <f>+'15'!D1</f>
        <v>46157</v>
      </c>
      <c r="U293" s="56" t="str">
        <f>+'15'!A46</f>
        <v/>
      </c>
      <c r="V293" s="56">
        <f>+'15'!B46</f>
        <v>0</v>
      </c>
      <c r="W293" s="56">
        <f>+'15'!C46</f>
        <v>0</v>
      </c>
      <c r="X293" s="56">
        <f>+'15'!D46</f>
        <v>0</v>
      </c>
      <c r="Y293" s="61">
        <f>+'15'!E46</f>
        <v>0</v>
      </c>
      <c r="AB293" s="56"/>
      <c r="AC293" s="62"/>
    </row>
    <row r="294" spans="6:29">
      <c r="F294" s="10">
        <f>+'30'!D1</f>
        <v>46172</v>
      </c>
      <c r="G294" s="11" t="str">
        <f>+'30'!A4</f>
        <v/>
      </c>
      <c r="H294" s="11">
        <f>+'30'!B4</f>
        <v>0</v>
      </c>
      <c r="I294" s="11">
        <f>+'30'!C4</f>
        <v>0</v>
      </c>
      <c r="J294" s="11">
        <f>+'30'!D4</f>
        <v>0</v>
      </c>
      <c r="K294" s="13">
        <f>+'30'!E4</f>
        <v>0</v>
      </c>
      <c r="M294" s="10">
        <f>+'25'!D1</f>
        <v>46167</v>
      </c>
      <c r="N294" s="11" t="str">
        <f>+'25'!A26</f>
        <v/>
      </c>
      <c r="O294" s="11">
        <f>+'25'!B26</f>
        <v>0</v>
      </c>
      <c r="P294" s="11">
        <f>+'25'!C26</f>
        <v>0</v>
      </c>
      <c r="Q294" s="11">
        <f>+'25'!D26</f>
        <v>0</v>
      </c>
      <c r="R294" s="13">
        <f>+'25'!E26</f>
        <v>0</v>
      </c>
      <c r="T294" s="10">
        <f>+'15'!D1</f>
        <v>46157</v>
      </c>
      <c r="U294" s="56" t="str">
        <f>+'15'!A47</f>
        <v/>
      </c>
      <c r="V294" s="56">
        <f>+'15'!B47</f>
        <v>0</v>
      </c>
      <c r="W294" s="56">
        <f>+'15'!C47</f>
        <v>0</v>
      </c>
      <c r="X294" s="56">
        <f>+'15'!D47</f>
        <v>0</v>
      </c>
      <c r="Y294" s="61">
        <f>+'15'!E47</f>
        <v>0</v>
      </c>
      <c r="AB294" s="56"/>
      <c r="AC294" s="62"/>
    </row>
    <row r="295" spans="6:29">
      <c r="F295" s="10">
        <f>+'30'!D1</f>
        <v>46172</v>
      </c>
      <c r="G295" s="11" t="str">
        <f>+'30'!A5</f>
        <v/>
      </c>
      <c r="H295" s="11">
        <f>+'30'!B5</f>
        <v>0</v>
      </c>
      <c r="I295" s="11">
        <f>+'30'!C5</f>
        <v>0</v>
      </c>
      <c r="J295" s="11">
        <f>+'30'!D5</f>
        <v>0</v>
      </c>
      <c r="K295" s="13">
        <f>+'30'!E5</f>
        <v>0</v>
      </c>
      <c r="M295" s="10">
        <f>+'25'!D1</f>
        <v>46167</v>
      </c>
      <c r="N295" s="11" t="str">
        <f>+'25'!A27</f>
        <v/>
      </c>
      <c r="O295" s="11">
        <f>+'25'!B27</f>
        <v>0</v>
      </c>
      <c r="P295" s="11">
        <f>+'25'!C27</f>
        <v>0</v>
      </c>
      <c r="Q295" s="11">
        <f>+'25'!D27</f>
        <v>0</v>
      </c>
      <c r="R295" s="13">
        <f>+'25'!E27</f>
        <v>0</v>
      </c>
      <c r="T295" s="10">
        <f>+'15'!D1</f>
        <v>46157</v>
      </c>
      <c r="U295" s="56" t="str">
        <f>+'15'!A48</f>
        <v/>
      </c>
      <c r="V295" s="56">
        <f>+'15'!B48</f>
        <v>0</v>
      </c>
      <c r="W295" s="56">
        <f>+'15'!C48</f>
        <v>0</v>
      </c>
      <c r="X295" s="56">
        <f>+'15'!D48</f>
        <v>0</v>
      </c>
      <c r="Y295" s="61">
        <f>+'15'!E48</f>
        <v>0</v>
      </c>
      <c r="AB295" s="56"/>
      <c r="AC295" s="62"/>
    </row>
    <row r="296" spans="6:29">
      <c r="F296" s="10">
        <f>+'30'!D1</f>
        <v>46172</v>
      </c>
      <c r="G296" s="11" t="str">
        <f>+'30'!A6</f>
        <v/>
      </c>
      <c r="H296" s="11">
        <f>+'30'!B6</f>
        <v>0</v>
      </c>
      <c r="I296" s="11">
        <f>+'30'!C6</f>
        <v>0</v>
      </c>
      <c r="J296" s="11">
        <f>+'30'!D6</f>
        <v>0</v>
      </c>
      <c r="K296" s="13">
        <f>+'30'!E6</f>
        <v>0</v>
      </c>
      <c r="M296" s="10">
        <f>+'25'!D1</f>
        <v>46167</v>
      </c>
      <c r="N296" s="11" t="str">
        <f>+'25'!A28</f>
        <v/>
      </c>
      <c r="O296" s="11">
        <f>+'25'!B28</f>
        <v>0</v>
      </c>
      <c r="P296" s="11">
        <f>+'25'!C28</f>
        <v>0</v>
      </c>
      <c r="Q296" s="11">
        <f>+'25'!D28</f>
        <v>0</v>
      </c>
      <c r="R296" s="13">
        <f>+'25'!E28</f>
        <v>0</v>
      </c>
      <c r="T296" s="10">
        <f>+'15'!D1</f>
        <v>46157</v>
      </c>
      <c r="U296" s="56" t="str">
        <f>+'15'!A49</f>
        <v/>
      </c>
      <c r="V296" s="56">
        <f>+'15'!B49</f>
        <v>0</v>
      </c>
      <c r="W296" s="56">
        <f>+'15'!C49</f>
        <v>0</v>
      </c>
      <c r="X296" s="56">
        <f>+'15'!D49</f>
        <v>0</v>
      </c>
      <c r="Y296" s="61">
        <f>+'15'!E49</f>
        <v>0</v>
      </c>
      <c r="AB296" s="56"/>
      <c r="AC296" s="62"/>
    </row>
    <row r="297" spans="6:29">
      <c r="F297" s="10">
        <f>+'30'!D1</f>
        <v>46172</v>
      </c>
      <c r="G297" s="11" t="str">
        <f>+'30'!A7</f>
        <v/>
      </c>
      <c r="H297" s="11">
        <f>+'30'!B7</f>
        <v>0</v>
      </c>
      <c r="I297" s="11">
        <f>+'30'!C7</f>
        <v>0</v>
      </c>
      <c r="J297" s="11">
        <f>+'30'!D7</f>
        <v>0</v>
      </c>
      <c r="K297" s="13">
        <f>+'30'!E7</f>
        <v>0</v>
      </c>
      <c r="M297" s="10">
        <f>+'25'!D1</f>
        <v>46167</v>
      </c>
      <c r="N297" s="11" t="str">
        <f>+'25'!A29</f>
        <v/>
      </c>
      <c r="O297" s="11">
        <f>+'25'!B29</f>
        <v>0</v>
      </c>
      <c r="P297" s="11">
        <f>+'25'!C29</f>
        <v>0</v>
      </c>
      <c r="Q297" s="11">
        <f>+'25'!D29</f>
        <v>0</v>
      </c>
      <c r="R297" s="13">
        <f>+'25'!E29</f>
        <v>0</v>
      </c>
      <c r="T297" s="10">
        <f>+'15'!D1</f>
        <v>46157</v>
      </c>
      <c r="U297" s="56" t="str">
        <f>+'15'!A50</f>
        <v/>
      </c>
      <c r="V297" s="56">
        <f>+'15'!B50</f>
        <v>0</v>
      </c>
      <c r="W297" s="56">
        <f>+'15'!C50</f>
        <v>0</v>
      </c>
      <c r="X297" s="56">
        <f>+'15'!D50</f>
        <v>0</v>
      </c>
      <c r="Y297" s="61">
        <f>+'15'!E50</f>
        <v>0</v>
      </c>
      <c r="AB297" s="56"/>
      <c r="AC297" s="62"/>
    </row>
    <row r="298" spans="6:29">
      <c r="F298" s="10">
        <f>+'30'!D1</f>
        <v>46172</v>
      </c>
      <c r="G298" s="11" t="str">
        <f>+'30'!A8</f>
        <v/>
      </c>
      <c r="H298" s="11">
        <f>+'30'!B8</f>
        <v>0</v>
      </c>
      <c r="I298" s="11">
        <f>+'30'!C8</f>
        <v>0</v>
      </c>
      <c r="J298" s="11">
        <f>+'30'!D8</f>
        <v>0</v>
      </c>
      <c r="K298" s="13">
        <f>+'30'!E8</f>
        <v>0</v>
      </c>
      <c r="M298" s="10">
        <f>+'25'!D1</f>
        <v>46167</v>
      </c>
      <c r="N298" s="11" t="str">
        <f>+'25'!A30</f>
        <v/>
      </c>
      <c r="O298" s="11">
        <f>+'25'!B30</f>
        <v>0</v>
      </c>
      <c r="P298" s="11">
        <f>+'25'!C30</f>
        <v>0</v>
      </c>
      <c r="Q298" s="11">
        <f>+'25'!D30</f>
        <v>0</v>
      </c>
      <c r="R298" s="13">
        <f>+'25'!E30</f>
        <v>0</v>
      </c>
      <c r="T298" s="10">
        <f>+'15'!D1</f>
        <v>46157</v>
      </c>
      <c r="U298" s="56" t="str">
        <f>+'15'!A51</f>
        <v/>
      </c>
      <c r="V298" s="56">
        <f>+'15'!B51</f>
        <v>0</v>
      </c>
      <c r="W298" s="56">
        <f>+'15'!C51</f>
        <v>0</v>
      </c>
      <c r="X298" s="56">
        <f>+'15'!D51</f>
        <v>0</v>
      </c>
      <c r="Y298" s="61">
        <f>+'15'!E51</f>
        <v>0</v>
      </c>
      <c r="AB298" s="56"/>
      <c r="AC298" s="62"/>
    </row>
    <row r="299" spans="6:29">
      <c r="F299" s="10">
        <f>+'30'!D1</f>
        <v>46172</v>
      </c>
      <c r="G299" s="11" t="str">
        <f>+'30'!A9</f>
        <v/>
      </c>
      <c r="H299" s="11">
        <f>+'30'!B9</f>
        <v>0</v>
      </c>
      <c r="I299" s="11">
        <f>+'30'!C9</f>
        <v>0</v>
      </c>
      <c r="J299" s="11" t="str">
        <f>+'30'!D9</f>
        <v> </v>
      </c>
      <c r="K299" s="13">
        <f>+'30'!E9</f>
        <v>0</v>
      </c>
      <c r="M299" s="10">
        <f>+'25'!D1</f>
        <v>46167</v>
      </c>
      <c r="N299" s="11" t="str">
        <f>+'25'!A31</f>
        <v/>
      </c>
      <c r="O299" s="11">
        <f>+'25'!B31</f>
        <v>0</v>
      </c>
      <c r="P299" s="11">
        <f>+'25'!C31</f>
        <v>0</v>
      </c>
      <c r="Q299" s="11">
        <f>+'25'!D31</f>
        <v>0</v>
      </c>
      <c r="R299" s="13">
        <f>+'25'!E31</f>
        <v>0</v>
      </c>
      <c r="T299" s="10">
        <f>+'15'!D1</f>
        <v>46157</v>
      </c>
      <c r="U299" s="56" t="str">
        <f>+'15'!A52</f>
        <v/>
      </c>
      <c r="V299" s="56">
        <f>+'15'!B52</f>
        <v>0</v>
      </c>
      <c r="W299" s="56">
        <f>+'15'!C52</f>
        <v>0</v>
      </c>
      <c r="X299" s="56">
        <f>+'15'!D52</f>
        <v>0</v>
      </c>
      <c r="Y299" s="61">
        <f>+'15'!E52</f>
        <v>0</v>
      </c>
      <c r="AB299" s="56"/>
      <c r="AC299" s="62"/>
    </row>
    <row r="300" spans="6:29">
      <c r="F300" s="10">
        <f>+'30'!D1</f>
        <v>46172</v>
      </c>
      <c r="G300" s="11" t="str">
        <f>+'30'!A10</f>
        <v/>
      </c>
      <c r="H300" s="11">
        <f>+'30'!B10</f>
        <v>0</v>
      </c>
      <c r="I300" s="11">
        <f>+'30'!C10</f>
        <v>0</v>
      </c>
      <c r="J300" s="11">
        <f>+'30'!D10</f>
        <v>0</v>
      </c>
      <c r="K300" s="13">
        <f>+'30'!E10</f>
        <v>0</v>
      </c>
      <c r="M300" s="10">
        <f>+'25'!D1</f>
        <v>46167</v>
      </c>
      <c r="N300" s="11" t="str">
        <f>+'25'!A32</f>
        <v/>
      </c>
      <c r="O300" s="11">
        <f>+'25'!B32</f>
        <v>0</v>
      </c>
      <c r="P300" s="11">
        <f>+'25'!C32</f>
        <v>0</v>
      </c>
      <c r="Q300" s="11">
        <f>+'25'!D32</f>
        <v>0</v>
      </c>
      <c r="R300" s="13">
        <f>+'25'!E32</f>
        <v>0</v>
      </c>
      <c r="T300" s="10">
        <f>+'15'!D1</f>
        <v>46157</v>
      </c>
      <c r="U300" s="56" t="str">
        <f>+'15'!A53</f>
        <v/>
      </c>
      <c r="V300" s="56">
        <f>+'15'!B53</f>
        <v>0</v>
      </c>
      <c r="W300" s="56">
        <f>+'15'!C53</f>
        <v>0</v>
      </c>
      <c r="X300" s="56">
        <f>+'15'!D53</f>
        <v>0</v>
      </c>
      <c r="Y300" s="61">
        <f>+'15'!E53</f>
        <v>0</v>
      </c>
      <c r="AB300" s="56"/>
      <c r="AC300" s="62"/>
    </row>
    <row r="301" spans="6:29">
      <c r="F301" s="10">
        <f>+'30'!D1</f>
        <v>46172</v>
      </c>
      <c r="G301" s="11" t="str">
        <f>+'30'!A11</f>
        <v/>
      </c>
      <c r="H301" s="11">
        <f>+'30'!B11</f>
        <v>0</v>
      </c>
      <c r="I301" s="11">
        <f>+'30'!C11</f>
        <v>0</v>
      </c>
      <c r="J301" s="11">
        <f>+'30'!D11</f>
        <v>0</v>
      </c>
      <c r="K301" s="13">
        <f>+'30'!E11</f>
        <v>0</v>
      </c>
      <c r="M301" s="10">
        <f>+'25'!D1</f>
        <v>46167</v>
      </c>
      <c r="N301" s="11" t="str">
        <f>+'25'!A33</f>
        <v/>
      </c>
      <c r="O301" s="11">
        <f>+'25'!B33</f>
        <v>0</v>
      </c>
      <c r="P301" s="11">
        <f>+'25'!C33</f>
        <v>0</v>
      </c>
      <c r="Q301" s="11">
        <f>+'25'!D33</f>
        <v>0</v>
      </c>
      <c r="R301" s="13">
        <f>+'25'!E33</f>
        <v>0</v>
      </c>
      <c r="T301" s="10">
        <f>+'15'!D1</f>
        <v>46157</v>
      </c>
      <c r="U301" s="56" t="str">
        <f>+'15'!A54</f>
        <v/>
      </c>
      <c r="V301" s="56">
        <f>+'15'!B54</f>
        <v>0</v>
      </c>
      <c r="W301" s="56">
        <f>+'15'!C54</f>
        <v>0</v>
      </c>
      <c r="X301" s="56">
        <f>+'15'!D54</f>
        <v>0</v>
      </c>
      <c r="Y301" s="61">
        <f>+'15'!E54</f>
        <v>0</v>
      </c>
      <c r="AB301" s="56"/>
      <c r="AC301" s="62"/>
    </row>
    <row r="302" spans="6:29">
      <c r="F302" s="10">
        <f>+'30'!D1</f>
        <v>46172</v>
      </c>
      <c r="G302" s="11" t="str">
        <f>+'30'!A12</f>
        <v/>
      </c>
      <c r="H302" s="11">
        <f>+'30'!B12</f>
        <v>0</v>
      </c>
      <c r="I302" s="11">
        <f>+'30'!C12</f>
        <v>0</v>
      </c>
      <c r="J302" s="11">
        <f>+'30'!D12</f>
        <v>0</v>
      </c>
      <c r="K302" s="13">
        <f>+'30'!E12</f>
        <v>0</v>
      </c>
      <c r="M302" s="10">
        <f>+'25'!D1</f>
        <v>46167</v>
      </c>
      <c r="N302" s="11" t="str">
        <f>+'25'!A34</f>
        <v/>
      </c>
      <c r="O302" s="11">
        <f>+'25'!B34</f>
        <v>0</v>
      </c>
      <c r="P302" s="11">
        <f>+'25'!C34</f>
        <v>0</v>
      </c>
      <c r="Q302" s="11">
        <f>+'25'!D34</f>
        <v>0</v>
      </c>
      <c r="R302" s="13">
        <f>+'25'!E34</f>
        <v>0</v>
      </c>
      <c r="T302" s="10">
        <f>+'15'!D1</f>
        <v>46157</v>
      </c>
      <c r="U302" s="56" t="str">
        <f>+'15'!A55</f>
        <v/>
      </c>
      <c r="V302" s="56">
        <f>+'15'!B55</f>
        <v>0</v>
      </c>
      <c r="W302" s="56">
        <f>+'15'!C55</f>
        <v>0</v>
      </c>
      <c r="X302" s="56">
        <f>+'15'!D55</f>
        <v>0</v>
      </c>
      <c r="Y302" s="61">
        <f>+'15'!E55</f>
        <v>0</v>
      </c>
      <c r="AB302" s="56"/>
      <c r="AC302" s="62"/>
    </row>
    <row r="303" spans="6:29">
      <c r="F303" s="10">
        <f>+'31'!D1</f>
        <v>46173</v>
      </c>
      <c r="G303" s="11" t="str">
        <f>+'31'!A3</f>
        <v/>
      </c>
      <c r="H303" s="11">
        <f>+'31'!B3</f>
        <v>0</v>
      </c>
      <c r="I303" s="11">
        <f>+'31'!C3</f>
        <v>0</v>
      </c>
      <c r="J303" s="11">
        <f>+'31'!D3</f>
        <v>0</v>
      </c>
      <c r="K303" s="13">
        <f>+'31'!E3</f>
        <v>0</v>
      </c>
      <c r="M303" s="10">
        <f>+'26'!D1</f>
        <v>46168</v>
      </c>
      <c r="N303" s="11" t="str">
        <f>+'26'!A23</f>
        <v/>
      </c>
      <c r="O303" s="11">
        <f>+'26'!B23</f>
        <v>0</v>
      </c>
      <c r="P303" s="11">
        <f>+'26'!C23</f>
        <v>0</v>
      </c>
      <c r="Q303" s="11">
        <f>+'26'!D23</f>
        <v>0</v>
      </c>
      <c r="R303" s="13">
        <f>+'26'!E23</f>
        <v>0</v>
      </c>
      <c r="T303" s="10">
        <f>+'16'!D1</f>
        <v>46158</v>
      </c>
      <c r="U303" s="56" t="str">
        <f>+'16'!A36</f>
        <v/>
      </c>
      <c r="V303" s="56">
        <f>+'16'!B36</f>
        <v>0</v>
      </c>
      <c r="W303" s="56">
        <f>+'16'!C36</f>
        <v>0</v>
      </c>
      <c r="X303" s="56">
        <f>+'16'!D36</f>
        <v>0</v>
      </c>
      <c r="Y303" s="61">
        <f>+'16'!E36</f>
        <v>0</v>
      </c>
      <c r="AB303" s="56"/>
      <c r="AC303" s="62"/>
    </row>
    <row r="304" spans="6:29">
      <c r="F304" s="10">
        <f>+'31'!D1</f>
        <v>46173</v>
      </c>
      <c r="G304" s="11" t="str">
        <f>+'31'!A4</f>
        <v/>
      </c>
      <c r="H304" s="11">
        <f>+'31'!B4</f>
        <v>0</v>
      </c>
      <c r="I304" s="11">
        <f>+'31'!C4</f>
        <v>0</v>
      </c>
      <c r="J304" s="11">
        <f>+'31'!D4</f>
        <v>0</v>
      </c>
      <c r="K304" s="13">
        <f>+'31'!E4</f>
        <v>0</v>
      </c>
      <c r="M304" s="10">
        <f>+'26'!D1</f>
        <v>46168</v>
      </c>
      <c r="N304" s="11" t="str">
        <f>+'26'!A24</f>
        <v/>
      </c>
      <c r="O304" s="11">
        <f>+'26'!B24</f>
        <v>0</v>
      </c>
      <c r="P304" s="11">
        <f>+'26'!C24</f>
        <v>0</v>
      </c>
      <c r="Q304" s="11">
        <f>+'26'!D24</f>
        <v>0</v>
      </c>
      <c r="R304" s="13">
        <f>+'26'!E24</f>
        <v>0</v>
      </c>
      <c r="T304" s="10">
        <f>+'16'!D1</f>
        <v>46158</v>
      </c>
      <c r="U304" s="56" t="str">
        <f>+'16'!A37</f>
        <v/>
      </c>
      <c r="V304" s="56">
        <f>+'16'!B37</f>
        <v>0</v>
      </c>
      <c r="W304" s="56">
        <f>+'16'!C37</f>
        <v>0</v>
      </c>
      <c r="X304" s="56">
        <f>+'16'!D37</f>
        <v>0</v>
      </c>
      <c r="Y304" s="61">
        <f>+'16'!E37</f>
        <v>0</v>
      </c>
      <c r="AB304" s="56"/>
      <c r="AC304" s="62"/>
    </row>
    <row r="305" spans="6:29">
      <c r="F305" s="10">
        <f>+'31'!D1</f>
        <v>46173</v>
      </c>
      <c r="G305" s="11" t="str">
        <f>+'31'!A5</f>
        <v/>
      </c>
      <c r="H305" s="11">
        <f>+'31'!B5</f>
        <v>0</v>
      </c>
      <c r="I305" s="11">
        <f>+'31'!C5</f>
        <v>0</v>
      </c>
      <c r="J305" s="11">
        <f>+'31'!D5</f>
        <v>0</v>
      </c>
      <c r="K305" s="13">
        <f>+'31'!E5</f>
        <v>0</v>
      </c>
      <c r="M305" s="10">
        <f>+'26'!D1</f>
        <v>46168</v>
      </c>
      <c r="N305" s="11" t="str">
        <f>+'26'!A25</f>
        <v/>
      </c>
      <c r="O305" s="11">
        <f>+'26'!B25</f>
        <v>0</v>
      </c>
      <c r="P305" s="11">
        <f>+'26'!C25</f>
        <v>0</v>
      </c>
      <c r="Q305" s="11">
        <f>+'26'!D25</f>
        <v>0</v>
      </c>
      <c r="R305" s="13">
        <f>+'26'!E25</f>
        <v>0</v>
      </c>
      <c r="T305" s="10">
        <f>+'16'!D1</f>
        <v>46158</v>
      </c>
      <c r="U305" s="56" t="str">
        <f>+'16'!A38</f>
        <v/>
      </c>
      <c r="V305" s="56">
        <f>+'16'!B38</f>
        <v>0</v>
      </c>
      <c r="W305" s="56">
        <f>+'16'!C38</f>
        <v>0</v>
      </c>
      <c r="X305" s="56">
        <f>+'16'!D38</f>
        <v>0</v>
      </c>
      <c r="Y305" s="61">
        <f>+'16'!E38</f>
        <v>0</v>
      </c>
      <c r="AB305" s="56"/>
      <c r="AC305" s="62"/>
    </row>
    <row r="306" spans="6:29">
      <c r="F306" s="10">
        <f>+'31'!D1</f>
        <v>46173</v>
      </c>
      <c r="G306" s="11" t="str">
        <f>+'31'!A6</f>
        <v/>
      </c>
      <c r="H306" s="11">
        <f>+'31'!B6</f>
        <v>0</v>
      </c>
      <c r="I306" s="11">
        <f>+'31'!C6</f>
        <v>0</v>
      </c>
      <c r="J306" s="11">
        <f>+'31'!D6</f>
        <v>0</v>
      </c>
      <c r="K306" s="13">
        <f>+'31'!E6</f>
        <v>0</v>
      </c>
      <c r="M306" s="10">
        <f>+'26'!D1</f>
        <v>46168</v>
      </c>
      <c r="N306" s="11" t="str">
        <f>+'26'!A26</f>
        <v/>
      </c>
      <c r="O306" s="11">
        <f>+'26'!B26</f>
        <v>0</v>
      </c>
      <c r="P306" s="11">
        <f>+'26'!C26</f>
        <v>0</v>
      </c>
      <c r="Q306" s="11">
        <f>+'26'!D26</f>
        <v>0</v>
      </c>
      <c r="R306" s="13">
        <f>+'26'!E26</f>
        <v>0</v>
      </c>
      <c r="T306" s="10">
        <f>+'16'!D1</f>
        <v>46158</v>
      </c>
      <c r="U306" s="56" t="str">
        <f>+'16'!A39</f>
        <v/>
      </c>
      <c r="V306" s="56">
        <f>+'16'!B39</f>
        <v>0</v>
      </c>
      <c r="W306" s="56">
        <f>+'16'!C39</f>
        <v>0</v>
      </c>
      <c r="X306" s="56">
        <f>+'16'!D39</f>
        <v>0</v>
      </c>
      <c r="Y306" s="61">
        <f>+'16'!E39</f>
        <v>0</v>
      </c>
      <c r="AB306" s="56"/>
      <c r="AC306" s="62"/>
    </row>
    <row r="307" spans="6:29">
      <c r="F307" s="10">
        <f>+'31'!D1</f>
        <v>46173</v>
      </c>
      <c r="G307" s="11" t="str">
        <f>+'31'!A7</f>
        <v/>
      </c>
      <c r="H307" s="11">
        <f>+'31'!B7</f>
        <v>0</v>
      </c>
      <c r="I307" s="11">
        <f>+'31'!C7</f>
        <v>0</v>
      </c>
      <c r="J307" s="11">
        <f>+'31'!D7</f>
        <v>0</v>
      </c>
      <c r="K307" s="13">
        <f>+'31'!E7</f>
        <v>0</v>
      </c>
      <c r="M307" s="10">
        <f>+'26'!D1</f>
        <v>46168</v>
      </c>
      <c r="N307" s="11" t="str">
        <f>+'26'!A27</f>
        <v/>
      </c>
      <c r="O307" s="11">
        <f>+'26'!B27</f>
        <v>0</v>
      </c>
      <c r="P307" s="11">
        <f>+'26'!C27</f>
        <v>0</v>
      </c>
      <c r="Q307" s="11">
        <f>+'26'!D27</f>
        <v>0</v>
      </c>
      <c r="R307" s="13">
        <f>+'26'!E27</f>
        <v>0</v>
      </c>
      <c r="T307" s="10">
        <f>+'16'!D1</f>
        <v>46158</v>
      </c>
      <c r="U307" s="56" t="str">
        <f>+'16'!A40</f>
        <v/>
      </c>
      <c r="V307" s="56">
        <f>+'16'!B40</f>
        <v>0</v>
      </c>
      <c r="W307" s="56">
        <f>+'16'!C40</f>
        <v>0</v>
      </c>
      <c r="X307" s="56">
        <f>+'16'!D40</f>
        <v>0</v>
      </c>
      <c r="Y307" s="61">
        <f>+'16'!E40</f>
        <v>0</v>
      </c>
      <c r="AB307" s="56"/>
      <c r="AC307" s="62"/>
    </row>
    <row r="308" spans="6:29">
      <c r="F308" s="10">
        <f>+'31'!D1</f>
        <v>46173</v>
      </c>
      <c r="G308" s="11" t="str">
        <f>+'31'!A8</f>
        <v/>
      </c>
      <c r="H308" s="11">
        <f>+'31'!B8</f>
        <v>0</v>
      </c>
      <c r="I308" s="11">
        <f>+'31'!C8</f>
        <v>0</v>
      </c>
      <c r="J308" s="11">
        <f>+'31'!D8</f>
        <v>0</v>
      </c>
      <c r="K308" s="13">
        <f>+'31'!E8</f>
        <v>0</v>
      </c>
      <c r="M308" s="10">
        <f>+'26'!D1</f>
        <v>46168</v>
      </c>
      <c r="N308" s="11" t="str">
        <f>+'26'!A28</f>
        <v/>
      </c>
      <c r="O308" s="11">
        <f>+'26'!B28</f>
        <v>0</v>
      </c>
      <c r="P308" s="11">
        <f>+'26'!C28</f>
        <v>0</v>
      </c>
      <c r="Q308" s="11">
        <f>+'26'!D28</f>
        <v>0</v>
      </c>
      <c r="R308" s="13">
        <f>+'26'!E28</f>
        <v>0</v>
      </c>
      <c r="T308" s="10">
        <f>+'16'!D1</f>
        <v>46158</v>
      </c>
      <c r="U308" s="56" t="str">
        <f>+'16'!A41</f>
        <v/>
      </c>
      <c r="V308" s="56">
        <f>+'16'!B41</f>
        <v>0</v>
      </c>
      <c r="W308" s="56">
        <f>+'16'!C41</f>
        <v>0</v>
      </c>
      <c r="X308" s="56">
        <f>+'16'!D41</f>
        <v>0</v>
      </c>
      <c r="Y308" s="61">
        <f>+'16'!E41</f>
        <v>0</v>
      </c>
      <c r="AB308" s="56"/>
      <c r="AC308" s="62"/>
    </row>
    <row r="309" spans="6:29">
      <c r="F309" s="10">
        <f>+'31'!D1</f>
        <v>46173</v>
      </c>
      <c r="G309" s="11" t="str">
        <f>+'31'!A9</f>
        <v/>
      </c>
      <c r="H309" s="11">
        <f>+'31'!B9</f>
        <v>0</v>
      </c>
      <c r="I309" s="11">
        <f>+'31'!C9</f>
        <v>0</v>
      </c>
      <c r="J309" s="11" t="str">
        <f>+'31'!D9</f>
        <v> </v>
      </c>
      <c r="K309" s="13">
        <f>+'31'!E9</f>
        <v>0</v>
      </c>
      <c r="M309" s="10">
        <f>+'26'!D1</f>
        <v>46168</v>
      </c>
      <c r="N309" s="11" t="str">
        <f>+'26'!A29</f>
        <v/>
      </c>
      <c r="O309" s="11">
        <f>+'26'!B29</f>
        <v>0</v>
      </c>
      <c r="P309" s="11">
        <f>+'26'!C29</f>
        <v>0</v>
      </c>
      <c r="Q309" s="11">
        <f>+'26'!D29</f>
        <v>0</v>
      </c>
      <c r="R309" s="13">
        <f>+'26'!E29</f>
        <v>0</v>
      </c>
      <c r="T309" s="10">
        <f>+'16'!D1</f>
        <v>46158</v>
      </c>
      <c r="U309" s="56" t="str">
        <f>+'16'!A42</f>
        <v/>
      </c>
      <c r="V309" s="56">
        <f>+'16'!B42</f>
        <v>0</v>
      </c>
      <c r="W309" s="56">
        <f>+'16'!C42</f>
        <v>0</v>
      </c>
      <c r="X309" s="56">
        <f>+'16'!D42</f>
        <v>0</v>
      </c>
      <c r="Y309" s="61">
        <f>+'16'!E42</f>
        <v>0</v>
      </c>
      <c r="AB309" s="56"/>
      <c r="AC309" s="62"/>
    </row>
    <row r="310" spans="6:29">
      <c r="F310" s="10">
        <f>+'31'!D1</f>
        <v>46173</v>
      </c>
      <c r="G310" s="11" t="str">
        <f>+'31'!A10</f>
        <v/>
      </c>
      <c r="H310" s="11">
        <f>+'31'!B10</f>
        <v>0</v>
      </c>
      <c r="I310" s="11">
        <f>+'31'!C10</f>
        <v>0</v>
      </c>
      <c r="J310" s="11">
        <f>+'31'!D10</f>
        <v>0</v>
      </c>
      <c r="K310" s="13">
        <f>+'31'!E10</f>
        <v>0</v>
      </c>
      <c r="M310" s="10">
        <f>+'26'!D1</f>
        <v>46168</v>
      </c>
      <c r="N310" s="11" t="str">
        <f>+'26'!A30</f>
        <v/>
      </c>
      <c r="O310" s="11">
        <f>+'26'!B30</f>
        <v>0</v>
      </c>
      <c r="P310" s="11">
        <f>+'26'!C30</f>
        <v>0</v>
      </c>
      <c r="Q310" s="11">
        <f>+'26'!D30</f>
        <v>0</v>
      </c>
      <c r="R310" s="13">
        <f>+'26'!E30</f>
        <v>0</v>
      </c>
      <c r="T310" s="10">
        <f>+'16'!D1</f>
        <v>46158</v>
      </c>
      <c r="U310" s="56" t="str">
        <f>+'16'!A43</f>
        <v/>
      </c>
      <c r="V310" s="56">
        <f>+'16'!B43</f>
        <v>0</v>
      </c>
      <c r="W310" s="56">
        <f>+'16'!C43</f>
        <v>0</v>
      </c>
      <c r="X310" s="56">
        <f>+'16'!D43</f>
        <v>0</v>
      </c>
      <c r="Y310" s="61">
        <f>+'16'!E43</f>
        <v>0</v>
      </c>
      <c r="AB310" s="56"/>
      <c r="AC310" s="62"/>
    </row>
    <row r="311" spans="6:29">
      <c r="F311" s="10">
        <f>+'31'!D1</f>
        <v>46173</v>
      </c>
      <c r="G311" s="11" t="str">
        <f>+'31'!A11</f>
        <v/>
      </c>
      <c r="H311" s="11">
        <f>+'31'!B11</f>
        <v>0</v>
      </c>
      <c r="I311" s="11">
        <f>+'31'!C11</f>
        <v>0</v>
      </c>
      <c r="J311" s="11">
        <f>+'31'!D11</f>
        <v>0</v>
      </c>
      <c r="K311" s="13">
        <f>+'31'!E11</f>
        <v>0</v>
      </c>
      <c r="M311" s="10">
        <f>+'26'!D1</f>
        <v>46168</v>
      </c>
      <c r="N311" s="11" t="str">
        <f>+'26'!A31</f>
        <v/>
      </c>
      <c r="O311" s="11">
        <f>+'26'!B31</f>
        <v>0</v>
      </c>
      <c r="P311" s="11">
        <f>+'26'!C31</f>
        <v>0</v>
      </c>
      <c r="Q311" s="11">
        <f>+'26'!D31</f>
        <v>0</v>
      </c>
      <c r="R311" s="13">
        <f>+'26'!E31</f>
        <v>0</v>
      </c>
      <c r="T311" s="10">
        <f>+'16'!D1</f>
        <v>46158</v>
      </c>
      <c r="U311" s="56" t="str">
        <f>+'16'!A44</f>
        <v/>
      </c>
      <c r="V311" s="56">
        <f>+'16'!B44</f>
        <v>0</v>
      </c>
      <c r="W311" s="56">
        <f>+'16'!C44</f>
        <v>0</v>
      </c>
      <c r="X311" s="56">
        <f>+'16'!D44</f>
        <v>0</v>
      </c>
      <c r="Y311" s="61">
        <f>+'16'!E44</f>
        <v>0</v>
      </c>
      <c r="AB311" s="56"/>
      <c r="AC311" s="62"/>
    </row>
    <row r="312" spans="6:29">
      <c r="F312" s="10">
        <f>+'31'!D1</f>
        <v>46173</v>
      </c>
      <c r="G312" s="11" t="str">
        <f>+'31'!A12</f>
        <v/>
      </c>
      <c r="H312" s="11">
        <f>+'31'!B12</f>
        <v>0</v>
      </c>
      <c r="I312" s="11">
        <f>+'31'!C12</f>
        <v>0</v>
      </c>
      <c r="J312" s="11">
        <f>+'31'!D12</f>
        <v>0</v>
      </c>
      <c r="K312" s="13">
        <f>+'31'!E12</f>
        <v>0</v>
      </c>
      <c r="M312" s="10">
        <f>+'26'!D1</f>
        <v>46168</v>
      </c>
      <c r="N312" s="11" t="str">
        <f>+'26'!A32</f>
        <v/>
      </c>
      <c r="O312" s="11">
        <f>+'26'!B32</f>
        <v>0</v>
      </c>
      <c r="P312" s="11">
        <f>+'26'!C32</f>
        <v>0</v>
      </c>
      <c r="Q312" s="11">
        <f>+'26'!D32</f>
        <v>0</v>
      </c>
      <c r="R312" s="13">
        <f>+'26'!E32</f>
        <v>0</v>
      </c>
      <c r="T312" s="10">
        <f>+'16'!D1</f>
        <v>46158</v>
      </c>
      <c r="U312" s="56" t="str">
        <f>+'16'!A45</f>
        <v/>
      </c>
      <c r="V312" s="56">
        <f>+'16'!B45</f>
        <v>0</v>
      </c>
      <c r="W312" s="56">
        <f>+'16'!C45</f>
        <v>0</v>
      </c>
      <c r="X312" s="56">
        <f>+'16'!D45</f>
        <v>0</v>
      </c>
      <c r="Y312" s="61">
        <f>+'16'!E45</f>
        <v>0</v>
      </c>
      <c r="AB312" s="56"/>
      <c r="AC312" s="62"/>
    </row>
    <row r="313" spans="8:29">
      <c r="H313" s="11"/>
      <c r="I313" s="11"/>
      <c r="J313" s="11"/>
      <c r="M313" s="10">
        <f>+'26'!D1</f>
        <v>46168</v>
      </c>
      <c r="N313" s="11" t="str">
        <f>+'26'!A33</f>
        <v/>
      </c>
      <c r="O313" s="11">
        <f>+'26'!B33</f>
        <v>0</v>
      </c>
      <c r="P313" s="11">
        <f>+'26'!C33</f>
        <v>0</v>
      </c>
      <c r="Q313" s="11">
        <f>+'26'!D33</f>
        <v>0</v>
      </c>
      <c r="R313" s="13">
        <f>+'26'!E33</f>
        <v>0</v>
      </c>
      <c r="T313" s="10">
        <f>+'16'!D1</f>
        <v>46158</v>
      </c>
      <c r="U313" s="56" t="str">
        <f>+'16'!A46</f>
        <v/>
      </c>
      <c r="V313" s="56">
        <f>+'16'!B46</f>
        <v>0</v>
      </c>
      <c r="W313" s="56">
        <f>+'16'!C46</f>
        <v>0</v>
      </c>
      <c r="X313" s="56">
        <f>+'16'!D46</f>
        <v>0</v>
      </c>
      <c r="Y313" s="61">
        <f>+'16'!E46</f>
        <v>0</v>
      </c>
      <c r="AB313" s="56"/>
      <c r="AC313" s="62"/>
    </row>
    <row r="314" spans="7:29">
      <c r="G314" s="13"/>
      <c r="H314" s="13"/>
      <c r="I314" s="13"/>
      <c r="J314" s="13"/>
      <c r="M314" s="10">
        <f>+'26'!D1</f>
        <v>46168</v>
      </c>
      <c r="N314" s="11" t="str">
        <f>+'26'!A34</f>
        <v/>
      </c>
      <c r="O314" s="11">
        <f>+'26'!B34</f>
        <v>0</v>
      </c>
      <c r="P314" s="11">
        <f>+'26'!C34</f>
        <v>0</v>
      </c>
      <c r="Q314" s="11">
        <f>+'26'!D34</f>
        <v>0</v>
      </c>
      <c r="R314" s="13">
        <f>+'26'!E34</f>
        <v>0</v>
      </c>
      <c r="T314" s="10">
        <f>+'16'!D1</f>
        <v>46158</v>
      </c>
      <c r="U314" s="56" t="str">
        <f>+'16'!A47</f>
        <v/>
      </c>
      <c r="V314" s="56">
        <f>+'16'!B47</f>
        <v>0</v>
      </c>
      <c r="W314" s="56">
        <f>+'16'!C47</f>
        <v>0</v>
      </c>
      <c r="X314" s="56">
        <f>+'16'!D47</f>
        <v>0</v>
      </c>
      <c r="Y314" s="61">
        <f>+'16'!E47</f>
        <v>0</v>
      </c>
      <c r="AB314" s="56"/>
      <c r="AC314" s="62"/>
    </row>
    <row r="315" spans="7:29">
      <c r="G315" s="13"/>
      <c r="H315" s="13"/>
      <c r="I315" s="13"/>
      <c r="J315" s="13"/>
      <c r="M315" s="10">
        <f>+'27'!D1</f>
        <v>46169</v>
      </c>
      <c r="N315" s="11" t="str">
        <f>+'27'!A23</f>
        <v/>
      </c>
      <c r="O315" s="11">
        <f>+'27'!B23</f>
        <v>0</v>
      </c>
      <c r="P315" s="11">
        <f>+'27'!C23</f>
        <v>0</v>
      </c>
      <c r="Q315" s="11">
        <f>+'27'!D23</f>
        <v>0</v>
      </c>
      <c r="R315" s="13">
        <f>+'27'!E23</f>
        <v>0</v>
      </c>
      <c r="T315" s="10">
        <f>+'16'!D1</f>
        <v>46158</v>
      </c>
      <c r="U315" s="56" t="str">
        <f>+'16'!A48</f>
        <v/>
      </c>
      <c r="V315" s="56">
        <f>+'16'!B48</f>
        <v>0</v>
      </c>
      <c r="W315" s="56">
        <f>+'16'!C48</f>
        <v>0</v>
      </c>
      <c r="X315" s="56">
        <f>+'16'!D48</f>
        <v>0</v>
      </c>
      <c r="Y315" s="61">
        <f>+'16'!E48</f>
        <v>0</v>
      </c>
      <c r="AB315" s="56"/>
      <c r="AC315" s="62"/>
    </row>
    <row r="316" spans="7:29">
      <c r="G316" s="13"/>
      <c r="H316" s="13"/>
      <c r="I316" s="13"/>
      <c r="J316" s="13"/>
      <c r="M316" s="10">
        <f>+'27'!D1</f>
        <v>46169</v>
      </c>
      <c r="N316" s="11" t="str">
        <f>+'27'!A24</f>
        <v/>
      </c>
      <c r="O316" s="11">
        <f>+'27'!B24</f>
        <v>0</v>
      </c>
      <c r="P316" s="11">
        <f>+'27'!C24</f>
        <v>0</v>
      </c>
      <c r="Q316" s="11">
        <f>+'27'!D24</f>
        <v>0</v>
      </c>
      <c r="R316" s="13">
        <f>+'27'!E24</f>
        <v>0</v>
      </c>
      <c r="T316" s="10">
        <f>+'16'!D1</f>
        <v>46158</v>
      </c>
      <c r="U316" s="56" t="str">
        <f>+'16'!A49</f>
        <v/>
      </c>
      <c r="V316" s="56">
        <f>+'16'!B49</f>
        <v>0</v>
      </c>
      <c r="W316" s="56">
        <f>+'16'!C49</f>
        <v>0</v>
      </c>
      <c r="X316" s="56">
        <f>+'16'!D49</f>
        <v>0</v>
      </c>
      <c r="Y316" s="61">
        <f>+'16'!E49</f>
        <v>0</v>
      </c>
      <c r="AB316" s="56"/>
      <c r="AC316" s="62"/>
    </row>
    <row r="317" spans="7:29">
      <c r="G317" s="13"/>
      <c r="H317" s="13"/>
      <c r="I317" s="13"/>
      <c r="J317" s="13"/>
      <c r="M317" s="10">
        <f>+'27'!D1</f>
        <v>46169</v>
      </c>
      <c r="N317" s="11" t="str">
        <f>+'27'!A25</f>
        <v/>
      </c>
      <c r="O317" s="11">
        <f>+'27'!B25</f>
        <v>0</v>
      </c>
      <c r="P317" s="11">
        <f>+'27'!C25</f>
        <v>0</v>
      </c>
      <c r="Q317" s="11">
        <f>+'27'!D25</f>
        <v>0</v>
      </c>
      <c r="R317" s="13">
        <f>+'27'!E25</f>
        <v>0</v>
      </c>
      <c r="T317" s="10">
        <f>+'16'!D1</f>
        <v>46158</v>
      </c>
      <c r="U317" s="56" t="str">
        <f>+'16'!A50</f>
        <v/>
      </c>
      <c r="V317" s="56">
        <f>+'16'!B50</f>
        <v>0</v>
      </c>
      <c r="W317" s="56">
        <f>+'16'!C50</f>
        <v>0</v>
      </c>
      <c r="X317" s="56">
        <f>+'16'!D50</f>
        <v>0</v>
      </c>
      <c r="Y317" s="61">
        <f>+'16'!E50</f>
        <v>0</v>
      </c>
      <c r="AB317" s="56"/>
      <c r="AC317" s="62"/>
    </row>
    <row r="318" spans="7:29">
      <c r="G318" s="13"/>
      <c r="H318" s="13"/>
      <c r="I318" s="13"/>
      <c r="J318" s="13"/>
      <c r="M318" s="10">
        <f>+'27'!D1</f>
        <v>46169</v>
      </c>
      <c r="N318" s="11" t="str">
        <f>+'27'!A26</f>
        <v/>
      </c>
      <c r="O318" s="11">
        <f>+'27'!B26</f>
        <v>0</v>
      </c>
      <c r="P318" s="11">
        <f>+'27'!C26</f>
        <v>0</v>
      </c>
      <c r="Q318" s="11">
        <f>+'27'!D26</f>
        <v>0</v>
      </c>
      <c r="R318" s="13">
        <f>+'27'!E26</f>
        <v>0</v>
      </c>
      <c r="T318" s="10">
        <f>+'16'!D1</f>
        <v>46158</v>
      </c>
      <c r="U318" s="56" t="str">
        <f>+'16'!A51</f>
        <v/>
      </c>
      <c r="V318" s="56">
        <f>+'16'!B51</f>
        <v>0</v>
      </c>
      <c r="W318" s="56">
        <f>+'16'!C51</f>
        <v>0</v>
      </c>
      <c r="X318" s="56">
        <f>+'16'!D51</f>
        <v>0</v>
      </c>
      <c r="Y318" s="61">
        <f>+'16'!E51</f>
        <v>0</v>
      </c>
      <c r="AB318" s="56"/>
      <c r="AC318" s="62"/>
    </row>
    <row r="319" spans="7:29">
      <c r="G319" s="13"/>
      <c r="H319" s="13"/>
      <c r="I319" s="13"/>
      <c r="J319" s="13"/>
      <c r="M319" s="10">
        <f>+'27'!D1</f>
        <v>46169</v>
      </c>
      <c r="N319" s="11" t="str">
        <f>+'27'!A27</f>
        <v/>
      </c>
      <c r="O319" s="11">
        <f>+'27'!B27</f>
        <v>0</v>
      </c>
      <c r="P319" s="11">
        <f>+'27'!C27</f>
        <v>0</v>
      </c>
      <c r="Q319" s="11">
        <f>+'27'!D27</f>
        <v>0</v>
      </c>
      <c r="R319" s="13">
        <f>+'27'!E27</f>
        <v>0</v>
      </c>
      <c r="T319" s="10">
        <f>+'16'!D1</f>
        <v>46158</v>
      </c>
      <c r="U319" s="56" t="str">
        <f>+'16'!A52</f>
        <v/>
      </c>
      <c r="V319" s="56">
        <f>+'16'!B52</f>
        <v>0</v>
      </c>
      <c r="W319" s="56">
        <f>+'16'!C52</f>
        <v>0</v>
      </c>
      <c r="X319" s="56">
        <f>+'16'!D52</f>
        <v>0</v>
      </c>
      <c r="Y319" s="61">
        <f>+'16'!E52</f>
        <v>0</v>
      </c>
      <c r="AB319" s="56"/>
      <c r="AC319" s="62"/>
    </row>
    <row r="320" spans="7:29">
      <c r="G320" s="13"/>
      <c r="H320" s="13"/>
      <c r="I320" s="13"/>
      <c r="J320" s="13"/>
      <c r="M320" s="10">
        <f>+'27'!D1</f>
        <v>46169</v>
      </c>
      <c r="N320" s="11" t="str">
        <f>+'27'!A28</f>
        <v/>
      </c>
      <c r="O320" s="11">
        <f>+'27'!B28</f>
        <v>0</v>
      </c>
      <c r="P320" s="11">
        <f>+'27'!C28</f>
        <v>0</v>
      </c>
      <c r="Q320" s="11">
        <f>+'27'!D28</f>
        <v>0</v>
      </c>
      <c r="R320" s="13">
        <f>+'27'!E28</f>
        <v>0</v>
      </c>
      <c r="T320" s="10">
        <f>+'16'!D1</f>
        <v>46158</v>
      </c>
      <c r="U320" s="56" t="str">
        <f>+'16'!A53</f>
        <v/>
      </c>
      <c r="V320" s="56">
        <f>+'16'!B53</f>
        <v>0</v>
      </c>
      <c r="W320" s="56">
        <f>+'16'!C53</f>
        <v>0</v>
      </c>
      <c r="X320" s="56">
        <f>+'16'!D53</f>
        <v>0</v>
      </c>
      <c r="Y320" s="61">
        <f>+'16'!E53</f>
        <v>0</v>
      </c>
      <c r="AB320" s="56"/>
      <c r="AC320" s="62"/>
    </row>
    <row r="321" spans="7:29">
      <c r="G321" s="13"/>
      <c r="H321" s="13"/>
      <c r="I321" s="13"/>
      <c r="J321" s="13"/>
      <c r="M321" s="10">
        <f>+'27'!D1</f>
        <v>46169</v>
      </c>
      <c r="N321" s="11" t="str">
        <f>+'27'!A29</f>
        <v/>
      </c>
      <c r="O321" s="11">
        <f>+'27'!B29</f>
        <v>0</v>
      </c>
      <c r="P321" s="11">
        <f>+'27'!C29</f>
        <v>0</v>
      </c>
      <c r="Q321" s="11">
        <f>+'27'!D29</f>
        <v>0</v>
      </c>
      <c r="R321" s="13">
        <f>+'27'!E29</f>
        <v>0</v>
      </c>
      <c r="T321" s="10">
        <f>+'16'!D1</f>
        <v>46158</v>
      </c>
      <c r="U321" s="56" t="str">
        <f>+'16'!A54</f>
        <v/>
      </c>
      <c r="V321" s="56">
        <f>+'16'!B54</f>
        <v>0</v>
      </c>
      <c r="W321" s="56">
        <f>+'16'!C54</f>
        <v>0</v>
      </c>
      <c r="X321" s="56">
        <f>+'16'!D54</f>
        <v>0</v>
      </c>
      <c r="Y321" s="61">
        <f>+'16'!E54</f>
        <v>0</v>
      </c>
      <c r="AB321" s="56"/>
      <c r="AC321" s="62"/>
    </row>
    <row r="322" spans="7:29">
      <c r="G322" s="13"/>
      <c r="H322" s="13"/>
      <c r="I322" s="13"/>
      <c r="J322" s="13"/>
      <c r="M322" s="10">
        <f>+'27'!D1</f>
        <v>46169</v>
      </c>
      <c r="N322" s="11" t="str">
        <f>+'27'!A30</f>
        <v/>
      </c>
      <c r="O322" s="11">
        <f>+'27'!B30</f>
        <v>0</v>
      </c>
      <c r="P322" s="11">
        <f>+'27'!C30</f>
        <v>0</v>
      </c>
      <c r="Q322" s="11">
        <f>+'27'!D30</f>
        <v>0</v>
      </c>
      <c r="R322" s="13">
        <f>+'27'!E30</f>
        <v>0</v>
      </c>
      <c r="T322" s="10">
        <f>+'16'!D1</f>
        <v>46158</v>
      </c>
      <c r="U322" s="56" t="str">
        <f>+'16'!A55</f>
        <v/>
      </c>
      <c r="V322" s="56">
        <f>+'16'!B55</f>
        <v>0</v>
      </c>
      <c r="W322" s="56">
        <f>+'16'!C55</f>
        <v>0</v>
      </c>
      <c r="X322" s="56">
        <f>+'16'!D55</f>
        <v>0</v>
      </c>
      <c r="Y322" s="61">
        <f>+'16'!E55</f>
        <v>0</v>
      </c>
      <c r="AB322" s="56"/>
      <c r="AC322" s="62"/>
    </row>
    <row r="323" spans="7:29">
      <c r="G323" s="13"/>
      <c r="H323" s="13"/>
      <c r="I323" s="13"/>
      <c r="J323" s="13"/>
      <c r="M323" s="10">
        <f>+'27'!D1</f>
        <v>46169</v>
      </c>
      <c r="N323" s="11" t="str">
        <f>+'27'!A31</f>
        <v/>
      </c>
      <c r="O323" s="11">
        <f>+'27'!B31</f>
        <v>0</v>
      </c>
      <c r="P323" s="11">
        <f>+'27'!C31</f>
        <v>0</v>
      </c>
      <c r="Q323" s="11">
        <f>+'27'!D31</f>
        <v>0</v>
      </c>
      <c r="R323" s="13">
        <f>+'27'!E31</f>
        <v>0</v>
      </c>
      <c r="T323" s="10">
        <f>+'17'!D1</f>
        <v>46159</v>
      </c>
      <c r="U323" s="56" t="str">
        <f>+'17'!A36</f>
        <v/>
      </c>
      <c r="V323" s="56">
        <f>+'17'!B36</f>
        <v>0</v>
      </c>
      <c r="W323" s="56">
        <f>+'17'!C36</f>
        <v>0</v>
      </c>
      <c r="X323" s="56">
        <f>+'17'!D36</f>
        <v>0</v>
      </c>
      <c r="Y323" s="61">
        <f>+'17'!E36</f>
        <v>0</v>
      </c>
      <c r="AB323" s="56"/>
      <c r="AC323" s="62"/>
    </row>
    <row r="324" spans="7:29">
      <c r="G324" s="13"/>
      <c r="H324" s="13"/>
      <c r="I324" s="13"/>
      <c r="J324" s="13"/>
      <c r="M324" s="10">
        <f>+'27'!D1</f>
        <v>46169</v>
      </c>
      <c r="N324" s="11" t="str">
        <f>+'27'!A32</f>
        <v/>
      </c>
      <c r="O324" s="11">
        <f>+'27'!B32</f>
        <v>0</v>
      </c>
      <c r="P324" s="11">
        <f>+'27'!C32</f>
        <v>0</v>
      </c>
      <c r="Q324" s="11">
        <f>+'27'!D32</f>
        <v>0</v>
      </c>
      <c r="R324" s="13">
        <f>+'27'!E32</f>
        <v>0</v>
      </c>
      <c r="T324" s="10">
        <f>+'17'!D1</f>
        <v>46159</v>
      </c>
      <c r="U324" s="56" t="str">
        <f>+'17'!A37</f>
        <v/>
      </c>
      <c r="V324" s="56">
        <f>+'17'!B37</f>
        <v>0</v>
      </c>
      <c r="W324" s="56">
        <f>+'17'!C37</f>
        <v>0</v>
      </c>
      <c r="X324" s="56">
        <f>+'17'!D37</f>
        <v>0</v>
      </c>
      <c r="Y324" s="61">
        <f>+'17'!E37</f>
        <v>0</v>
      </c>
      <c r="AB324" s="56"/>
      <c r="AC324" s="62"/>
    </row>
    <row r="325" spans="7:29">
      <c r="G325" s="13"/>
      <c r="H325" s="13"/>
      <c r="I325" s="13"/>
      <c r="J325" s="13"/>
      <c r="M325" s="10">
        <f>+'27'!D1</f>
        <v>46169</v>
      </c>
      <c r="N325" s="11" t="str">
        <f>+'27'!A33</f>
        <v/>
      </c>
      <c r="O325" s="11">
        <f>+'27'!B33</f>
        <v>0</v>
      </c>
      <c r="P325" s="11">
        <f>+'27'!C33</f>
        <v>0</v>
      </c>
      <c r="Q325" s="11">
        <f>+'27'!D33</f>
        <v>0</v>
      </c>
      <c r="R325" s="13">
        <f>+'27'!E33</f>
        <v>0</v>
      </c>
      <c r="T325" s="10">
        <f>+'17'!D1</f>
        <v>46159</v>
      </c>
      <c r="U325" s="56" t="str">
        <f>+'17'!A38</f>
        <v/>
      </c>
      <c r="V325" s="56">
        <f>+'17'!B38</f>
        <v>0</v>
      </c>
      <c r="W325" s="56">
        <f>+'17'!C38</f>
        <v>0</v>
      </c>
      <c r="X325" s="56">
        <f>+'17'!D38</f>
        <v>0</v>
      </c>
      <c r="Y325" s="61">
        <f>+'17'!E38</f>
        <v>0</v>
      </c>
      <c r="AB325" s="56"/>
      <c r="AC325" s="62"/>
    </row>
    <row r="326" spans="7:29">
      <c r="G326" s="13"/>
      <c r="H326" s="13"/>
      <c r="I326" s="13"/>
      <c r="J326" s="13"/>
      <c r="M326" s="10">
        <f>+'27'!D1</f>
        <v>46169</v>
      </c>
      <c r="N326" s="11" t="str">
        <f>+'27'!A34</f>
        <v/>
      </c>
      <c r="O326" s="11">
        <f>+'27'!B34</f>
        <v>0</v>
      </c>
      <c r="P326" s="11">
        <f>+'27'!C34</f>
        <v>0</v>
      </c>
      <c r="Q326" s="11">
        <f>+'27'!D34</f>
        <v>0</v>
      </c>
      <c r="R326" s="13">
        <f>+'27'!E34</f>
        <v>0</v>
      </c>
      <c r="T326" s="10">
        <f>+'17'!D1</f>
        <v>46159</v>
      </c>
      <c r="U326" s="56" t="str">
        <f>+'17'!A39</f>
        <v/>
      </c>
      <c r="V326" s="56">
        <f>+'17'!B39</f>
        <v>0</v>
      </c>
      <c r="W326" s="56">
        <f>+'17'!C39</f>
        <v>0</v>
      </c>
      <c r="X326" s="56">
        <f>+'17'!D39</f>
        <v>0</v>
      </c>
      <c r="Y326" s="61">
        <f>+'17'!E39</f>
        <v>0</v>
      </c>
      <c r="AB326" s="56"/>
      <c r="AC326" s="62"/>
    </row>
    <row r="327" spans="7:29">
      <c r="G327" s="13"/>
      <c r="H327" s="13"/>
      <c r="I327" s="13"/>
      <c r="J327" s="13"/>
      <c r="M327" s="10">
        <f>+'28'!D1</f>
        <v>46170</v>
      </c>
      <c r="N327" s="11" t="str">
        <f>+'28'!A23</f>
        <v/>
      </c>
      <c r="O327" s="11">
        <f>+'28'!B23</f>
        <v>0</v>
      </c>
      <c r="P327" s="11">
        <f>+'28'!C23</f>
        <v>0</v>
      </c>
      <c r="Q327" s="11">
        <f>+'28'!D23</f>
        <v>0</v>
      </c>
      <c r="R327" s="13">
        <f>+'28'!E23</f>
        <v>0</v>
      </c>
      <c r="T327" s="10">
        <f>+'17'!D1</f>
        <v>46159</v>
      </c>
      <c r="U327" s="56" t="str">
        <f>+'17'!A40</f>
        <v/>
      </c>
      <c r="V327" s="56">
        <f>+'17'!B40</f>
        <v>0</v>
      </c>
      <c r="W327" s="56">
        <f>+'17'!C40</f>
        <v>0</v>
      </c>
      <c r="X327" s="56">
        <f>+'17'!D40</f>
        <v>0</v>
      </c>
      <c r="Y327" s="61">
        <f>+'17'!E40</f>
        <v>0</v>
      </c>
      <c r="AB327" s="56"/>
      <c r="AC327" s="62"/>
    </row>
    <row r="328" spans="7:29">
      <c r="G328" s="13"/>
      <c r="H328" s="13"/>
      <c r="I328" s="13"/>
      <c r="J328" s="13"/>
      <c r="M328" s="10">
        <f>+'28'!D1</f>
        <v>46170</v>
      </c>
      <c r="N328" s="11" t="str">
        <f>+'28'!A24</f>
        <v/>
      </c>
      <c r="O328" s="11">
        <f>+'28'!B24</f>
        <v>0</v>
      </c>
      <c r="P328" s="11">
        <f>+'28'!C24</f>
        <v>0</v>
      </c>
      <c r="Q328" s="11">
        <f>+'28'!D24</f>
        <v>0</v>
      </c>
      <c r="R328" s="13">
        <f>+'28'!E24</f>
        <v>0</v>
      </c>
      <c r="T328" s="10">
        <f>+'17'!D1</f>
        <v>46159</v>
      </c>
      <c r="U328" s="56" t="str">
        <f>+'17'!A41</f>
        <v/>
      </c>
      <c r="V328" s="56">
        <f>+'17'!B41</f>
        <v>0</v>
      </c>
      <c r="W328" s="56">
        <f>+'17'!C41</f>
        <v>0</v>
      </c>
      <c r="X328" s="56">
        <f>+'17'!D41</f>
        <v>0</v>
      </c>
      <c r="Y328" s="61">
        <f>+'17'!E41</f>
        <v>0</v>
      </c>
      <c r="AB328" s="56"/>
      <c r="AC328" s="62"/>
    </row>
    <row r="329" spans="7:29">
      <c r="G329" s="13"/>
      <c r="H329" s="13"/>
      <c r="I329" s="13"/>
      <c r="J329" s="13"/>
      <c r="M329" s="10">
        <f>+'28'!D1</f>
        <v>46170</v>
      </c>
      <c r="N329" s="11" t="str">
        <f>+'28'!A25</f>
        <v/>
      </c>
      <c r="O329" s="11">
        <f>+'28'!B25</f>
        <v>0</v>
      </c>
      <c r="P329" s="11">
        <f>+'28'!C25</f>
        <v>0</v>
      </c>
      <c r="Q329" s="11">
        <f>+'28'!D25</f>
        <v>0</v>
      </c>
      <c r="R329" s="13">
        <f>+'28'!E25</f>
        <v>0</v>
      </c>
      <c r="T329" s="10">
        <f>+'17'!D1</f>
        <v>46159</v>
      </c>
      <c r="U329" s="56" t="str">
        <f>+'17'!A42</f>
        <v/>
      </c>
      <c r="V329" s="56">
        <f>+'17'!B42</f>
        <v>0</v>
      </c>
      <c r="W329" s="56">
        <f>+'17'!C42</f>
        <v>0</v>
      </c>
      <c r="X329" s="56">
        <f>+'17'!D42</f>
        <v>0</v>
      </c>
      <c r="Y329" s="61">
        <f>+'17'!E42</f>
        <v>0</v>
      </c>
      <c r="AB329" s="56"/>
      <c r="AC329" s="62"/>
    </row>
    <row r="330" spans="7:29">
      <c r="G330" s="13"/>
      <c r="H330" s="13"/>
      <c r="I330" s="13"/>
      <c r="J330" s="13"/>
      <c r="M330" s="10">
        <f>+'28'!D1</f>
        <v>46170</v>
      </c>
      <c r="N330" s="11" t="str">
        <f>+'28'!A26</f>
        <v/>
      </c>
      <c r="O330" s="11">
        <f>+'28'!B26</f>
        <v>0</v>
      </c>
      <c r="P330" s="11">
        <f>+'28'!C26</f>
        <v>0</v>
      </c>
      <c r="Q330" s="11">
        <f>+'28'!D26</f>
        <v>0</v>
      </c>
      <c r="R330" s="13">
        <f>+'28'!E26</f>
        <v>0</v>
      </c>
      <c r="T330" s="10">
        <f>+'17'!D1</f>
        <v>46159</v>
      </c>
      <c r="U330" s="56" t="str">
        <f>+'17'!A43</f>
        <v/>
      </c>
      <c r="V330" s="56">
        <f>+'17'!B43</f>
        <v>0</v>
      </c>
      <c r="W330" s="56">
        <f>+'17'!C43</f>
        <v>0</v>
      </c>
      <c r="X330" s="56">
        <f>+'17'!D43</f>
        <v>0</v>
      </c>
      <c r="Y330" s="61">
        <f>+'17'!E43</f>
        <v>0</v>
      </c>
      <c r="AB330" s="56"/>
      <c r="AC330" s="62"/>
    </row>
    <row r="331" spans="7:29">
      <c r="G331" s="13"/>
      <c r="H331" s="13"/>
      <c r="I331" s="13"/>
      <c r="J331" s="13"/>
      <c r="M331" s="10">
        <f>+'28'!D1</f>
        <v>46170</v>
      </c>
      <c r="N331" s="11" t="str">
        <f>+'28'!A27</f>
        <v/>
      </c>
      <c r="O331" s="11">
        <f>+'28'!B27</f>
        <v>0</v>
      </c>
      <c r="P331" s="11">
        <f>+'28'!C27</f>
        <v>0</v>
      </c>
      <c r="Q331" s="11">
        <f>+'28'!D27</f>
        <v>0</v>
      </c>
      <c r="R331" s="13">
        <f>+'28'!E27</f>
        <v>0</v>
      </c>
      <c r="T331" s="10">
        <f>+'17'!D1</f>
        <v>46159</v>
      </c>
      <c r="U331" s="56" t="str">
        <f>+'17'!A44</f>
        <v/>
      </c>
      <c r="V331" s="56">
        <f>+'17'!B44</f>
        <v>0</v>
      </c>
      <c r="W331" s="56">
        <f>+'17'!C44</f>
        <v>0</v>
      </c>
      <c r="X331" s="56">
        <f>+'17'!D44</f>
        <v>0</v>
      </c>
      <c r="Y331" s="61">
        <f>+'17'!E44</f>
        <v>0</v>
      </c>
      <c r="AB331" s="56"/>
      <c r="AC331" s="62"/>
    </row>
    <row r="332" spans="7:29">
      <c r="G332" s="13"/>
      <c r="H332" s="13"/>
      <c r="I332" s="13"/>
      <c r="J332" s="13"/>
      <c r="M332" s="10">
        <f>+'28'!D1</f>
        <v>46170</v>
      </c>
      <c r="N332" s="11" t="str">
        <f>+'28'!A28</f>
        <v/>
      </c>
      <c r="O332" s="11">
        <f>+'28'!B28</f>
        <v>0</v>
      </c>
      <c r="P332" s="11">
        <f>+'28'!C28</f>
        <v>0</v>
      </c>
      <c r="Q332" s="11">
        <f>+'28'!D28</f>
        <v>0</v>
      </c>
      <c r="R332" s="13">
        <f>+'28'!E28</f>
        <v>0</v>
      </c>
      <c r="T332" s="10">
        <f>+'17'!D1</f>
        <v>46159</v>
      </c>
      <c r="U332" s="56" t="str">
        <f>+'17'!A45</f>
        <v/>
      </c>
      <c r="V332" s="56">
        <f>+'17'!B45</f>
        <v>0</v>
      </c>
      <c r="W332" s="56">
        <f>+'17'!C45</f>
        <v>0</v>
      </c>
      <c r="X332" s="56">
        <f>+'17'!D45</f>
        <v>0</v>
      </c>
      <c r="Y332" s="61">
        <f>+'17'!E45</f>
        <v>0</v>
      </c>
      <c r="AB332" s="56"/>
      <c r="AC332" s="62"/>
    </row>
    <row r="333" spans="7:29">
      <c r="G333" s="13"/>
      <c r="H333" s="13"/>
      <c r="I333" s="13"/>
      <c r="J333" s="13"/>
      <c r="M333" s="10">
        <f>+'28'!D1</f>
        <v>46170</v>
      </c>
      <c r="N333" s="11" t="str">
        <f>+'28'!A29</f>
        <v/>
      </c>
      <c r="O333" s="11">
        <f>+'28'!B29</f>
        <v>0</v>
      </c>
      <c r="P333" s="11">
        <f>+'28'!C29</f>
        <v>0</v>
      </c>
      <c r="Q333" s="11">
        <f>+'28'!D29</f>
        <v>0</v>
      </c>
      <c r="R333" s="13">
        <f>+'28'!E29</f>
        <v>0</v>
      </c>
      <c r="T333" s="10">
        <f>+'17'!D1</f>
        <v>46159</v>
      </c>
      <c r="U333" s="56" t="str">
        <f>+'17'!A46</f>
        <v/>
      </c>
      <c r="V333" s="56">
        <f>+'17'!B46</f>
        <v>0</v>
      </c>
      <c r="W333" s="56">
        <f>+'17'!C46</f>
        <v>0</v>
      </c>
      <c r="X333" s="56">
        <f>+'17'!D46</f>
        <v>0</v>
      </c>
      <c r="Y333" s="61">
        <f>+'17'!E46</f>
        <v>0</v>
      </c>
      <c r="AB333" s="56"/>
      <c r="AC333" s="62"/>
    </row>
    <row r="334" spans="7:29">
      <c r="G334" s="13"/>
      <c r="H334" s="13"/>
      <c r="I334" s="13"/>
      <c r="J334" s="13"/>
      <c r="M334" s="10">
        <f>+'28'!D1</f>
        <v>46170</v>
      </c>
      <c r="N334" s="11" t="str">
        <f>+'28'!A30</f>
        <v/>
      </c>
      <c r="O334" s="11">
        <f>+'28'!B30</f>
        <v>0</v>
      </c>
      <c r="P334" s="11">
        <f>+'28'!C30</f>
        <v>0</v>
      </c>
      <c r="Q334" s="11">
        <f>+'28'!D30</f>
        <v>0</v>
      </c>
      <c r="R334" s="13">
        <f>+'28'!E30</f>
        <v>0</v>
      </c>
      <c r="T334" s="10">
        <f>+'17'!D1</f>
        <v>46159</v>
      </c>
      <c r="U334" s="56" t="str">
        <f>+'17'!A47</f>
        <v/>
      </c>
      <c r="V334" s="56">
        <f>+'17'!B47</f>
        <v>0</v>
      </c>
      <c r="W334" s="56">
        <f>+'17'!C47</f>
        <v>0</v>
      </c>
      <c r="X334" s="56">
        <f>+'17'!D47</f>
        <v>0</v>
      </c>
      <c r="Y334" s="61">
        <f>+'17'!E47</f>
        <v>0</v>
      </c>
      <c r="AB334" s="56"/>
      <c r="AC334" s="62"/>
    </row>
    <row r="335" spans="7:29">
      <c r="G335" s="13"/>
      <c r="H335" s="13"/>
      <c r="I335" s="13"/>
      <c r="J335" s="13"/>
      <c r="M335" s="10">
        <f>+'28'!D1</f>
        <v>46170</v>
      </c>
      <c r="N335" s="11" t="str">
        <f>+'28'!A31</f>
        <v/>
      </c>
      <c r="O335" s="11">
        <f>+'28'!B31</f>
        <v>0</v>
      </c>
      <c r="P335" s="11">
        <f>+'28'!C31</f>
        <v>0</v>
      </c>
      <c r="Q335" s="11">
        <f>+'28'!D31</f>
        <v>0</v>
      </c>
      <c r="R335" s="13">
        <f>+'28'!E31</f>
        <v>0</v>
      </c>
      <c r="T335" s="10">
        <f>+'17'!D1</f>
        <v>46159</v>
      </c>
      <c r="U335" s="56" t="str">
        <f>+'17'!A48</f>
        <v/>
      </c>
      <c r="V335" s="56">
        <f>+'17'!B48</f>
        <v>0</v>
      </c>
      <c r="W335" s="56">
        <f>+'17'!C48</f>
        <v>0</v>
      </c>
      <c r="X335" s="56">
        <f>+'17'!D48</f>
        <v>0</v>
      </c>
      <c r="Y335" s="61">
        <f>+'17'!E48</f>
        <v>0</v>
      </c>
      <c r="AB335" s="56"/>
      <c r="AC335" s="62"/>
    </row>
    <row r="336" spans="7:29">
      <c r="G336" s="13"/>
      <c r="H336" s="13"/>
      <c r="I336" s="13"/>
      <c r="J336" s="13"/>
      <c r="M336" s="10">
        <f>+'28'!D1</f>
        <v>46170</v>
      </c>
      <c r="N336" s="11" t="str">
        <f>+'28'!A32</f>
        <v/>
      </c>
      <c r="O336" s="11">
        <f>+'28'!B32</f>
        <v>0</v>
      </c>
      <c r="P336" s="11">
        <f>+'28'!C32</f>
        <v>0</v>
      </c>
      <c r="Q336" s="11">
        <f>+'28'!D32</f>
        <v>0</v>
      </c>
      <c r="R336" s="13">
        <f>+'28'!E32</f>
        <v>0</v>
      </c>
      <c r="T336" s="10">
        <f>+'17'!D1</f>
        <v>46159</v>
      </c>
      <c r="U336" s="56" t="str">
        <f>+'17'!A49</f>
        <v/>
      </c>
      <c r="V336" s="56">
        <f>+'17'!B49</f>
        <v>0</v>
      </c>
      <c r="W336" s="56">
        <f>+'17'!C49</f>
        <v>0</v>
      </c>
      <c r="X336" s="56">
        <f>+'17'!D49</f>
        <v>0</v>
      </c>
      <c r="Y336" s="61">
        <f>+'17'!E49</f>
        <v>0</v>
      </c>
      <c r="AB336" s="56"/>
      <c r="AC336" s="62"/>
    </row>
    <row r="337" spans="7:29">
      <c r="G337" s="13"/>
      <c r="H337" s="13"/>
      <c r="I337" s="13"/>
      <c r="J337" s="13"/>
      <c r="M337" s="10">
        <f>+'28'!D1</f>
        <v>46170</v>
      </c>
      <c r="N337" s="11" t="str">
        <f>+'28'!A33</f>
        <v/>
      </c>
      <c r="O337" s="11">
        <f>+'28'!B33</f>
        <v>0</v>
      </c>
      <c r="P337" s="11">
        <f>+'28'!C33</f>
        <v>0</v>
      </c>
      <c r="Q337" s="11">
        <f>+'28'!D33</f>
        <v>0</v>
      </c>
      <c r="R337" s="13">
        <f>+'28'!E33</f>
        <v>0</v>
      </c>
      <c r="T337" s="10">
        <f>+'17'!D1</f>
        <v>46159</v>
      </c>
      <c r="U337" s="56" t="str">
        <f>+'17'!A50</f>
        <v/>
      </c>
      <c r="V337" s="56">
        <f>+'17'!B50</f>
        <v>0</v>
      </c>
      <c r="W337" s="56">
        <f>+'17'!C50</f>
        <v>0</v>
      </c>
      <c r="X337" s="56">
        <f>+'17'!D50</f>
        <v>0</v>
      </c>
      <c r="Y337" s="61">
        <f>+'17'!E50</f>
        <v>0</v>
      </c>
      <c r="AB337" s="56"/>
      <c r="AC337" s="62"/>
    </row>
    <row r="338" spans="7:29">
      <c r="G338" s="13"/>
      <c r="H338" s="13"/>
      <c r="I338" s="13"/>
      <c r="J338" s="13"/>
      <c r="M338" s="10">
        <f>+'28'!D1</f>
        <v>46170</v>
      </c>
      <c r="N338" s="11" t="str">
        <f>+'28'!A34</f>
        <v/>
      </c>
      <c r="O338" s="11">
        <f>+'28'!B34</f>
        <v>0</v>
      </c>
      <c r="P338" s="11">
        <f>+'28'!C34</f>
        <v>0</v>
      </c>
      <c r="Q338" s="11">
        <f>+'28'!D34</f>
        <v>0</v>
      </c>
      <c r="R338" s="13">
        <f>+'28'!E34</f>
        <v>0</v>
      </c>
      <c r="T338" s="10">
        <f>+'17'!D1</f>
        <v>46159</v>
      </c>
      <c r="U338" s="56" t="str">
        <f>+'17'!A51</f>
        <v/>
      </c>
      <c r="V338" s="56">
        <f>+'17'!B51</f>
        <v>0</v>
      </c>
      <c r="W338" s="56">
        <f>+'17'!C51</f>
        <v>0</v>
      </c>
      <c r="X338" s="56">
        <f>+'17'!D51</f>
        <v>0</v>
      </c>
      <c r="Y338" s="61">
        <f>+'17'!E51</f>
        <v>0</v>
      </c>
      <c r="AB338" s="56"/>
      <c r="AC338" s="62"/>
    </row>
    <row r="339" spans="7:29">
      <c r="G339" s="13"/>
      <c r="H339" s="13"/>
      <c r="I339" s="13"/>
      <c r="J339" s="13"/>
      <c r="M339" s="10">
        <f>+'29'!D1</f>
        <v>46171</v>
      </c>
      <c r="N339" s="11" t="str">
        <f>+'29'!A23</f>
        <v/>
      </c>
      <c r="O339" s="11">
        <f>+'29'!B23</f>
        <v>0</v>
      </c>
      <c r="P339" s="11">
        <f>+'29'!C23</f>
        <v>0</v>
      </c>
      <c r="Q339" s="11">
        <f>+'29'!D23</f>
        <v>0</v>
      </c>
      <c r="R339" s="13">
        <f>+'29'!E23</f>
        <v>0</v>
      </c>
      <c r="T339" s="10">
        <f>+'17'!D1</f>
        <v>46159</v>
      </c>
      <c r="U339" s="56" t="str">
        <f>+'17'!A52</f>
        <v/>
      </c>
      <c r="V339" s="56">
        <f>+'17'!B52</f>
        <v>0</v>
      </c>
      <c r="W339" s="56">
        <f>+'17'!C52</f>
        <v>0</v>
      </c>
      <c r="X339" s="56">
        <f>+'17'!D52</f>
        <v>0</v>
      </c>
      <c r="Y339" s="61">
        <f>+'17'!E52</f>
        <v>0</v>
      </c>
      <c r="AB339" s="56"/>
      <c r="AC339" s="62"/>
    </row>
    <row r="340" spans="7:29">
      <c r="G340" s="13"/>
      <c r="H340" s="13"/>
      <c r="I340" s="13"/>
      <c r="J340" s="13"/>
      <c r="M340" s="10">
        <f>+'29'!D1</f>
        <v>46171</v>
      </c>
      <c r="N340" s="11" t="str">
        <f>+'29'!A24</f>
        <v/>
      </c>
      <c r="O340" s="11">
        <f>+'29'!B24</f>
        <v>0</v>
      </c>
      <c r="P340" s="11">
        <f>+'29'!C24</f>
        <v>0</v>
      </c>
      <c r="Q340" s="11">
        <f>+'29'!D24</f>
        <v>0</v>
      </c>
      <c r="R340" s="13">
        <f>+'29'!E24</f>
        <v>0</v>
      </c>
      <c r="T340" s="10">
        <f>+'17'!D1</f>
        <v>46159</v>
      </c>
      <c r="U340" s="56" t="str">
        <f>+'17'!A53</f>
        <v/>
      </c>
      <c r="V340" s="56">
        <f>+'17'!B53</f>
        <v>0</v>
      </c>
      <c r="W340" s="56">
        <f>+'17'!C53</f>
        <v>0</v>
      </c>
      <c r="X340" s="56">
        <f>+'17'!D53</f>
        <v>0</v>
      </c>
      <c r="Y340" s="61">
        <f>+'17'!E53</f>
        <v>0</v>
      </c>
      <c r="AB340" s="56"/>
      <c r="AC340" s="62"/>
    </row>
    <row r="341" spans="7:29">
      <c r="G341" s="13"/>
      <c r="H341" s="13"/>
      <c r="I341" s="13"/>
      <c r="J341" s="13"/>
      <c r="M341" s="10">
        <f>+'29'!D1</f>
        <v>46171</v>
      </c>
      <c r="N341" s="11" t="str">
        <f>+'29'!A25</f>
        <v/>
      </c>
      <c r="O341" s="11">
        <f>+'29'!B25</f>
        <v>0</v>
      </c>
      <c r="P341" s="11">
        <f>+'29'!C25</f>
        <v>0</v>
      </c>
      <c r="Q341" s="11">
        <f>+'29'!D25</f>
        <v>0</v>
      </c>
      <c r="R341" s="13">
        <f>+'29'!E25</f>
        <v>0</v>
      </c>
      <c r="T341" s="10">
        <f>+'17'!D1</f>
        <v>46159</v>
      </c>
      <c r="U341" s="56" t="str">
        <f>+'17'!A54</f>
        <v/>
      </c>
      <c r="V341" s="56">
        <f>+'17'!B54</f>
        <v>0</v>
      </c>
      <c r="W341" s="56">
        <f>+'17'!C54</f>
        <v>0</v>
      </c>
      <c r="X341" s="56">
        <f>+'17'!D54</f>
        <v>0</v>
      </c>
      <c r="Y341" s="61">
        <f>+'17'!E54</f>
        <v>0</v>
      </c>
      <c r="AB341" s="56"/>
      <c r="AC341" s="62"/>
    </row>
    <row r="342" spans="7:29">
      <c r="G342" s="13"/>
      <c r="H342" s="13"/>
      <c r="I342" s="13"/>
      <c r="J342" s="13"/>
      <c r="M342" s="10">
        <f>+'29'!D1</f>
        <v>46171</v>
      </c>
      <c r="N342" s="11" t="str">
        <f>+'29'!A26</f>
        <v/>
      </c>
      <c r="O342" s="11">
        <f>+'29'!B26</f>
        <v>0</v>
      </c>
      <c r="P342" s="11">
        <f>+'29'!C26</f>
        <v>0</v>
      </c>
      <c r="Q342" s="11">
        <f>+'29'!D26</f>
        <v>0</v>
      </c>
      <c r="R342" s="13">
        <f>+'29'!E26</f>
        <v>0</v>
      </c>
      <c r="T342" s="10">
        <f>+'17'!D1</f>
        <v>46159</v>
      </c>
      <c r="U342" s="56" t="str">
        <f>+'17'!A55</f>
        <v/>
      </c>
      <c r="V342" s="56">
        <f>+'17'!B55</f>
        <v>0</v>
      </c>
      <c r="W342" s="56">
        <f>+'17'!C55</f>
        <v>0</v>
      </c>
      <c r="X342" s="56">
        <f>+'17'!D55</f>
        <v>0</v>
      </c>
      <c r="Y342" s="61">
        <f>+'17'!E55</f>
        <v>0</v>
      </c>
      <c r="AB342" s="56"/>
      <c r="AC342" s="62"/>
    </row>
    <row r="343" spans="7:29">
      <c r="G343" s="13"/>
      <c r="H343" s="13"/>
      <c r="I343" s="13"/>
      <c r="J343" s="13"/>
      <c r="M343" s="10">
        <f>+'29'!D1</f>
        <v>46171</v>
      </c>
      <c r="N343" s="11" t="str">
        <f>+'29'!A27</f>
        <v/>
      </c>
      <c r="O343" s="11">
        <f>+'29'!B27</f>
        <v>0</v>
      </c>
      <c r="P343" s="11">
        <f>+'29'!C27</f>
        <v>0</v>
      </c>
      <c r="Q343" s="11">
        <f>+'29'!D27</f>
        <v>0</v>
      </c>
      <c r="R343" s="13">
        <f>+'29'!E27</f>
        <v>0</v>
      </c>
      <c r="T343" s="10">
        <f>+'18'!D1</f>
        <v>46160</v>
      </c>
      <c r="U343" s="56" t="str">
        <f>+'18'!A36</f>
        <v/>
      </c>
      <c r="V343" s="56">
        <f>+'18'!B36</f>
        <v>0</v>
      </c>
      <c r="W343" s="56">
        <f>+'18'!C36</f>
        <v>0</v>
      </c>
      <c r="X343" s="56">
        <f>+'18'!D36</f>
        <v>0</v>
      </c>
      <c r="Y343" s="61">
        <f>+'18'!E36</f>
        <v>0</v>
      </c>
      <c r="AB343" s="56"/>
      <c r="AC343" s="62"/>
    </row>
    <row r="344" spans="7:29">
      <c r="G344" s="13"/>
      <c r="H344" s="13"/>
      <c r="I344" s="13"/>
      <c r="J344" s="13"/>
      <c r="M344" s="10">
        <f>+'29'!D1</f>
        <v>46171</v>
      </c>
      <c r="N344" s="11" t="str">
        <f>+'29'!A28</f>
        <v/>
      </c>
      <c r="O344" s="11">
        <f>+'29'!B28</f>
        <v>0</v>
      </c>
      <c r="P344" s="11">
        <f>+'29'!C28</f>
        <v>0</v>
      </c>
      <c r="Q344" s="11">
        <f>+'29'!D28</f>
        <v>0</v>
      </c>
      <c r="R344" s="13">
        <f>+'29'!E28</f>
        <v>0</v>
      </c>
      <c r="T344" s="10">
        <f>+'18'!D1</f>
        <v>46160</v>
      </c>
      <c r="U344" s="56" t="str">
        <f>+'18'!A37</f>
        <v/>
      </c>
      <c r="V344" s="56">
        <f>+'18'!B37</f>
        <v>0</v>
      </c>
      <c r="W344" s="56">
        <f>+'18'!C37</f>
        <v>0</v>
      </c>
      <c r="X344" s="56">
        <f>+'18'!D37</f>
        <v>0</v>
      </c>
      <c r="Y344" s="61">
        <f>+'18'!E37</f>
        <v>0</v>
      </c>
      <c r="AB344" s="56"/>
      <c r="AC344" s="62"/>
    </row>
    <row r="345" spans="7:29">
      <c r="G345" s="13"/>
      <c r="H345" s="13"/>
      <c r="I345" s="13"/>
      <c r="J345" s="13"/>
      <c r="M345" s="10">
        <f>+'29'!D1</f>
        <v>46171</v>
      </c>
      <c r="N345" s="11" t="str">
        <f>+'29'!A29</f>
        <v/>
      </c>
      <c r="O345" s="11">
        <f>+'29'!B29</f>
        <v>0</v>
      </c>
      <c r="P345" s="11">
        <f>+'29'!C29</f>
        <v>0</v>
      </c>
      <c r="Q345" s="11">
        <f>+'29'!D29</f>
        <v>0</v>
      </c>
      <c r="R345" s="13">
        <f>+'29'!E29</f>
        <v>0</v>
      </c>
      <c r="T345" s="10">
        <f>+'18'!D1</f>
        <v>46160</v>
      </c>
      <c r="U345" s="56" t="str">
        <f>+'18'!A38</f>
        <v/>
      </c>
      <c r="V345" s="56">
        <f>+'18'!B38</f>
        <v>0</v>
      </c>
      <c r="W345" s="56">
        <f>+'18'!C38</f>
        <v>0</v>
      </c>
      <c r="X345" s="56">
        <f>+'18'!D38</f>
        <v>0</v>
      </c>
      <c r="Y345" s="61">
        <f>+'18'!E38</f>
        <v>0</v>
      </c>
      <c r="AB345" s="56"/>
      <c r="AC345" s="62"/>
    </row>
    <row r="346" spans="7:29">
      <c r="G346" s="13"/>
      <c r="H346" s="13"/>
      <c r="I346" s="13"/>
      <c r="J346" s="13"/>
      <c r="M346" s="10">
        <f>+'29'!D1</f>
        <v>46171</v>
      </c>
      <c r="N346" s="11" t="str">
        <f>+'29'!A30</f>
        <v/>
      </c>
      <c r="O346" s="11">
        <f>+'29'!B30</f>
        <v>0</v>
      </c>
      <c r="P346" s="11">
        <f>+'29'!C30</f>
        <v>0</v>
      </c>
      <c r="Q346" s="11">
        <f>+'29'!D30</f>
        <v>0</v>
      </c>
      <c r="R346" s="13">
        <f>+'29'!E30</f>
        <v>0</v>
      </c>
      <c r="T346" s="10">
        <f>+'18'!D1</f>
        <v>46160</v>
      </c>
      <c r="U346" s="56" t="str">
        <f>+'18'!A39</f>
        <v/>
      </c>
      <c r="V346" s="56">
        <f>+'18'!B39</f>
        <v>0</v>
      </c>
      <c r="W346" s="56">
        <f>+'18'!C39</f>
        <v>0</v>
      </c>
      <c r="X346" s="56">
        <f>+'18'!D39</f>
        <v>0</v>
      </c>
      <c r="Y346" s="61">
        <f>+'18'!E39</f>
        <v>0</v>
      </c>
      <c r="AB346" s="56"/>
      <c r="AC346" s="62"/>
    </row>
    <row r="347" spans="7:29">
      <c r="G347" s="13"/>
      <c r="H347" s="13"/>
      <c r="I347" s="13"/>
      <c r="J347" s="13"/>
      <c r="M347" s="10">
        <f>+'29'!D1</f>
        <v>46171</v>
      </c>
      <c r="N347" s="11" t="str">
        <f>+'29'!A31</f>
        <v/>
      </c>
      <c r="O347" s="11">
        <f>+'29'!B31</f>
        <v>0</v>
      </c>
      <c r="P347" s="11">
        <f>+'29'!C31</f>
        <v>0</v>
      </c>
      <c r="Q347" s="11">
        <f>+'29'!D31</f>
        <v>0</v>
      </c>
      <c r="R347" s="13">
        <f>+'29'!E31</f>
        <v>0</v>
      </c>
      <c r="T347" s="10">
        <f>+'18'!D1</f>
        <v>46160</v>
      </c>
      <c r="U347" s="56" t="str">
        <f>+'18'!A40</f>
        <v/>
      </c>
      <c r="V347" s="56">
        <f>+'18'!B40</f>
        <v>0</v>
      </c>
      <c r="W347" s="56">
        <f>+'18'!C40</f>
        <v>0</v>
      </c>
      <c r="X347" s="56">
        <f>+'18'!D40</f>
        <v>0</v>
      </c>
      <c r="Y347" s="61">
        <f>+'18'!E40</f>
        <v>0</v>
      </c>
      <c r="AB347" s="56"/>
      <c r="AC347" s="62"/>
    </row>
    <row r="348" spans="7:29">
      <c r="G348" s="13"/>
      <c r="H348" s="13"/>
      <c r="I348" s="13"/>
      <c r="J348" s="13"/>
      <c r="M348" s="10">
        <f>+'29'!D1</f>
        <v>46171</v>
      </c>
      <c r="N348" s="11" t="str">
        <f>+'29'!A32</f>
        <v/>
      </c>
      <c r="O348" s="11">
        <f>+'29'!B32</f>
        <v>0</v>
      </c>
      <c r="P348" s="11">
        <f>+'29'!C32</f>
        <v>0</v>
      </c>
      <c r="Q348" s="11">
        <f>+'29'!D32</f>
        <v>0</v>
      </c>
      <c r="R348" s="13">
        <f>+'29'!E32</f>
        <v>0</v>
      </c>
      <c r="T348" s="10">
        <f>+'18'!D1</f>
        <v>46160</v>
      </c>
      <c r="U348" s="56" t="str">
        <f>+'18'!A41</f>
        <v/>
      </c>
      <c r="V348" s="56">
        <f>+'18'!B41</f>
        <v>0</v>
      </c>
      <c r="W348" s="56">
        <f>+'18'!C41</f>
        <v>0</v>
      </c>
      <c r="X348" s="56">
        <f>+'18'!D41</f>
        <v>0</v>
      </c>
      <c r="Y348" s="61">
        <f>+'18'!E41</f>
        <v>0</v>
      </c>
      <c r="AB348" s="56"/>
      <c r="AC348" s="62"/>
    </row>
    <row r="349" spans="7:29">
      <c r="G349" s="13"/>
      <c r="H349" s="13"/>
      <c r="I349" s="13"/>
      <c r="J349" s="13"/>
      <c r="M349" s="10">
        <f>+'29'!D1</f>
        <v>46171</v>
      </c>
      <c r="N349" s="11" t="str">
        <f>+'29'!A33</f>
        <v/>
      </c>
      <c r="O349" s="11">
        <f>+'29'!B33</f>
        <v>0</v>
      </c>
      <c r="P349" s="11">
        <f>+'29'!C33</f>
        <v>0</v>
      </c>
      <c r="Q349" s="11">
        <f>+'29'!D33</f>
        <v>0</v>
      </c>
      <c r="R349" s="13">
        <f>+'29'!E33</f>
        <v>0</v>
      </c>
      <c r="T349" s="10">
        <f>+'18'!D1</f>
        <v>46160</v>
      </c>
      <c r="U349" s="56" t="str">
        <f>+'18'!A42</f>
        <v/>
      </c>
      <c r="V349" s="56">
        <f>+'18'!B42</f>
        <v>0</v>
      </c>
      <c r="W349" s="56">
        <f>+'18'!C42</f>
        <v>0</v>
      </c>
      <c r="X349" s="56">
        <f>+'18'!D42</f>
        <v>0</v>
      </c>
      <c r="Y349" s="61">
        <f>+'18'!E42</f>
        <v>0</v>
      </c>
      <c r="AB349" s="56"/>
      <c r="AC349" s="62"/>
    </row>
    <row r="350" spans="7:29">
      <c r="G350" s="13"/>
      <c r="H350" s="13"/>
      <c r="I350" s="13"/>
      <c r="J350" s="13"/>
      <c r="M350" s="10">
        <f>+'29'!D1</f>
        <v>46171</v>
      </c>
      <c r="N350" s="11" t="str">
        <f>+'29'!A34</f>
        <v/>
      </c>
      <c r="O350" s="11">
        <f>+'29'!B34</f>
        <v>0</v>
      </c>
      <c r="P350" s="11">
        <f>+'29'!C34</f>
        <v>0</v>
      </c>
      <c r="Q350" s="11">
        <f>+'29'!D34</f>
        <v>0</v>
      </c>
      <c r="R350" s="13">
        <f>+'29'!E34</f>
        <v>0</v>
      </c>
      <c r="T350" s="10">
        <f>+'18'!D1</f>
        <v>46160</v>
      </c>
      <c r="U350" s="56" t="str">
        <f>+'18'!A43</f>
        <v/>
      </c>
      <c r="V350" s="56">
        <f>+'18'!B43</f>
        <v>0</v>
      </c>
      <c r="W350" s="56">
        <f>+'18'!C43</f>
        <v>0</v>
      </c>
      <c r="X350" s="56">
        <f>+'18'!D43</f>
        <v>0</v>
      </c>
      <c r="Y350" s="61">
        <f>+'18'!E43</f>
        <v>0</v>
      </c>
      <c r="AB350" s="56"/>
      <c r="AC350" s="62"/>
    </row>
    <row r="351" spans="7:29">
      <c r="G351" s="13"/>
      <c r="H351" s="13"/>
      <c r="I351" s="13"/>
      <c r="J351" s="13"/>
      <c r="M351" s="10">
        <f>+'30'!D1</f>
        <v>46172</v>
      </c>
      <c r="N351" s="11" t="str">
        <f>+'30'!A23</f>
        <v/>
      </c>
      <c r="O351" s="11">
        <f>+'30'!B23</f>
        <v>0</v>
      </c>
      <c r="P351" s="11">
        <f>+'30'!C23</f>
        <v>0</v>
      </c>
      <c r="Q351" s="11">
        <f>+'30'!D23</f>
        <v>0</v>
      </c>
      <c r="R351" s="13">
        <f>+'30'!E23</f>
        <v>0</v>
      </c>
      <c r="T351" s="10">
        <f>+'18'!D1</f>
        <v>46160</v>
      </c>
      <c r="U351" s="56" t="str">
        <f>+'18'!A44</f>
        <v/>
      </c>
      <c r="V351" s="56">
        <f>+'18'!B44</f>
        <v>0</v>
      </c>
      <c r="W351" s="56">
        <f>+'18'!C44</f>
        <v>0</v>
      </c>
      <c r="X351" s="56">
        <f>+'18'!D44</f>
        <v>0</v>
      </c>
      <c r="Y351" s="61">
        <f>+'18'!E44</f>
        <v>0</v>
      </c>
      <c r="AB351" s="56"/>
      <c r="AC351" s="62"/>
    </row>
    <row r="352" spans="7:29">
      <c r="G352" s="13"/>
      <c r="H352" s="13"/>
      <c r="I352" s="13"/>
      <c r="J352" s="13"/>
      <c r="M352" s="10">
        <f>+'30'!D1</f>
        <v>46172</v>
      </c>
      <c r="N352" s="11" t="str">
        <f>+'30'!A24</f>
        <v/>
      </c>
      <c r="O352" s="11">
        <f>+'30'!B24</f>
        <v>0</v>
      </c>
      <c r="P352" s="11">
        <f>+'30'!C24</f>
        <v>0</v>
      </c>
      <c r="Q352" s="11">
        <f>+'30'!D24</f>
        <v>0</v>
      </c>
      <c r="R352" s="13">
        <f>+'30'!E24</f>
        <v>0</v>
      </c>
      <c r="T352" s="10">
        <f>+'18'!D1</f>
        <v>46160</v>
      </c>
      <c r="U352" s="56" t="str">
        <f>+'18'!A45</f>
        <v/>
      </c>
      <c r="V352" s="56">
        <f>+'18'!B45</f>
        <v>0</v>
      </c>
      <c r="W352" s="56">
        <f>+'18'!C45</f>
        <v>0</v>
      </c>
      <c r="X352" s="56">
        <f>+'18'!D45</f>
        <v>0</v>
      </c>
      <c r="Y352" s="61">
        <f>+'18'!E45</f>
        <v>0</v>
      </c>
      <c r="AB352" s="56"/>
      <c r="AC352" s="62"/>
    </row>
    <row r="353" spans="7:29">
      <c r="G353" s="13"/>
      <c r="H353" s="13"/>
      <c r="I353" s="13"/>
      <c r="J353" s="13"/>
      <c r="M353" s="10">
        <f>+'30'!D1</f>
        <v>46172</v>
      </c>
      <c r="N353" s="11" t="str">
        <f>+'30'!A25</f>
        <v/>
      </c>
      <c r="O353" s="11">
        <f>+'30'!B25</f>
        <v>0</v>
      </c>
      <c r="P353" s="11">
        <f>+'30'!C25</f>
        <v>0</v>
      </c>
      <c r="Q353" s="11">
        <f>+'30'!D25</f>
        <v>0</v>
      </c>
      <c r="R353" s="13">
        <f>+'30'!E25</f>
        <v>0</v>
      </c>
      <c r="T353" s="10">
        <f>+'18'!D1</f>
        <v>46160</v>
      </c>
      <c r="U353" s="56" t="str">
        <f>+'18'!A46</f>
        <v/>
      </c>
      <c r="V353" s="56">
        <f>+'18'!B46</f>
        <v>0</v>
      </c>
      <c r="W353" s="56">
        <f>+'18'!C46</f>
        <v>0</v>
      </c>
      <c r="X353" s="56">
        <f>+'18'!D46</f>
        <v>0</v>
      </c>
      <c r="Y353" s="61">
        <f>+'18'!E46</f>
        <v>0</v>
      </c>
      <c r="AB353" s="56"/>
      <c r="AC353" s="62"/>
    </row>
    <row r="354" spans="7:29">
      <c r="G354" s="13"/>
      <c r="H354" s="13"/>
      <c r="I354" s="13"/>
      <c r="J354" s="13"/>
      <c r="M354" s="10">
        <f>+'30'!D1</f>
        <v>46172</v>
      </c>
      <c r="N354" s="11" t="str">
        <f>+'30'!A26</f>
        <v/>
      </c>
      <c r="O354" s="11">
        <f>+'30'!B26</f>
        <v>0</v>
      </c>
      <c r="P354" s="11">
        <f>+'30'!C26</f>
        <v>0</v>
      </c>
      <c r="Q354" s="11">
        <f>+'30'!D26</f>
        <v>0</v>
      </c>
      <c r="R354" s="13">
        <f>+'30'!E26</f>
        <v>0</v>
      </c>
      <c r="T354" s="10">
        <f>+'18'!D1</f>
        <v>46160</v>
      </c>
      <c r="U354" s="56" t="str">
        <f>+'18'!A47</f>
        <v/>
      </c>
      <c r="V354" s="56">
        <f>+'18'!B47</f>
        <v>0</v>
      </c>
      <c r="W354" s="56">
        <f>+'18'!C47</f>
        <v>0</v>
      </c>
      <c r="X354" s="56">
        <f>+'18'!D47</f>
        <v>0</v>
      </c>
      <c r="Y354" s="61">
        <f>+'18'!E47</f>
        <v>0</v>
      </c>
      <c r="AB354" s="56"/>
      <c r="AC354" s="62"/>
    </row>
    <row r="355" spans="7:29">
      <c r="G355" s="13"/>
      <c r="H355" s="13"/>
      <c r="I355" s="13"/>
      <c r="J355" s="13"/>
      <c r="M355" s="10">
        <f>+'30'!D1</f>
        <v>46172</v>
      </c>
      <c r="N355" s="11" t="str">
        <f>+'30'!A27</f>
        <v/>
      </c>
      <c r="O355" s="11">
        <f>+'30'!B27</f>
        <v>0</v>
      </c>
      <c r="P355" s="11">
        <f>+'30'!C27</f>
        <v>0</v>
      </c>
      <c r="Q355" s="11">
        <f>+'30'!D27</f>
        <v>0</v>
      </c>
      <c r="R355" s="13">
        <f>+'30'!E27</f>
        <v>0</v>
      </c>
      <c r="T355" s="10">
        <f>+'18'!D1</f>
        <v>46160</v>
      </c>
      <c r="U355" s="56" t="str">
        <f>+'18'!A48</f>
        <v/>
      </c>
      <c r="V355" s="56">
        <f>+'18'!B48</f>
        <v>0</v>
      </c>
      <c r="W355" s="56">
        <f>+'18'!C48</f>
        <v>0</v>
      </c>
      <c r="X355" s="56">
        <f>+'18'!D48</f>
        <v>0</v>
      </c>
      <c r="Y355" s="61">
        <f>+'18'!E48</f>
        <v>0</v>
      </c>
      <c r="AB355" s="56"/>
      <c r="AC355" s="62"/>
    </row>
    <row r="356" spans="7:29">
      <c r="G356" s="13"/>
      <c r="H356" s="13"/>
      <c r="I356" s="13"/>
      <c r="J356" s="13"/>
      <c r="M356" s="10">
        <f>+'30'!D1</f>
        <v>46172</v>
      </c>
      <c r="N356" s="11" t="str">
        <f>+'30'!A28</f>
        <v/>
      </c>
      <c r="O356" s="11">
        <f>+'30'!B28</f>
        <v>0</v>
      </c>
      <c r="P356" s="11">
        <f>+'30'!C28</f>
        <v>0</v>
      </c>
      <c r="Q356" s="11">
        <f>+'30'!D28</f>
        <v>0</v>
      </c>
      <c r="R356" s="13">
        <f>+'30'!E28</f>
        <v>0</v>
      </c>
      <c r="T356" s="10">
        <f>+'18'!D1</f>
        <v>46160</v>
      </c>
      <c r="U356" s="56" t="str">
        <f>+'18'!A49</f>
        <v/>
      </c>
      <c r="V356" s="56">
        <f>+'18'!B49</f>
        <v>0</v>
      </c>
      <c r="W356" s="56">
        <f>+'18'!C49</f>
        <v>0</v>
      </c>
      <c r="X356" s="56">
        <f>+'18'!D49</f>
        <v>0</v>
      </c>
      <c r="Y356" s="61">
        <f>+'18'!E49</f>
        <v>0</v>
      </c>
      <c r="AB356" s="56"/>
      <c r="AC356" s="62"/>
    </row>
    <row r="357" spans="7:29">
      <c r="G357" s="13"/>
      <c r="H357" s="13"/>
      <c r="I357" s="13"/>
      <c r="J357" s="13"/>
      <c r="M357" s="10">
        <f>+'30'!D1</f>
        <v>46172</v>
      </c>
      <c r="N357" s="11" t="str">
        <f>+'30'!A29</f>
        <v/>
      </c>
      <c r="O357" s="11">
        <f>+'30'!B29</f>
        <v>0</v>
      </c>
      <c r="P357" s="11">
        <f>+'30'!C29</f>
        <v>0</v>
      </c>
      <c r="Q357" s="11">
        <f>+'30'!D29</f>
        <v>0</v>
      </c>
      <c r="R357" s="13">
        <f>+'30'!E29</f>
        <v>0</v>
      </c>
      <c r="T357" s="10">
        <f>+'18'!D1</f>
        <v>46160</v>
      </c>
      <c r="U357" s="56" t="str">
        <f>+'18'!A50</f>
        <v/>
      </c>
      <c r="V357" s="56">
        <f>+'18'!B50</f>
        <v>0</v>
      </c>
      <c r="W357" s="56">
        <f>+'18'!C50</f>
        <v>0</v>
      </c>
      <c r="X357" s="56">
        <f>+'18'!D50</f>
        <v>0</v>
      </c>
      <c r="Y357" s="61">
        <f>+'18'!E50</f>
        <v>0</v>
      </c>
      <c r="AB357" s="56"/>
      <c r="AC357" s="62"/>
    </row>
    <row r="358" spans="7:29">
      <c r="G358" s="13"/>
      <c r="H358" s="13"/>
      <c r="I358" s="13"/>
      <c r="J358" s="13"/>
      <c r="M358" s="10">
        <f>+'30'!D1</f>
        <v>46172</v>
      </c>
      <c r="N358" s="11" t="str">
        <f>+'30'!A30</f>
        <v/>
      </c>
      <c r="O358" s="11">
        <f>+'30'!B30</f>
        <v>0</v>
      </c>
      <c r="P358" s="11">
        <f>+'30'!C30</f>
        <v>0</v>
      </c>
      <c r="Q358" s="11">
        <f>+'30'!D30</f>
        <v>0</v>
      </c>
      <c r="R358" s="13">
        <f>+'30'!E30</f>
        <v>0</v>
      </c>
      <c r="T358" s="10">
        <f>+'18'!D1</f>
        <v>46160</v>
      </c>
      <c r="U358" s="56" t="str">
        <f>+'18'!A51</f>
        <v/>
      </c>
      <c r="V358" s="56">
        <f>+'18'!B51</f>
        <v>0</v>
      </c>
      <c r="W358" s="56">
        <f>+'18'!C51</f>
        <v>0</v>
      </c>
      <c r="X358" s="56">
        <f>+'18'!D51</f>
        <v>0</v>
      </c>
      <c r="Y358" s="61">
        <f>+'18'!E51</f>
        <v>0</v>
      </c>
      <c r="AB358" s="56"/>
      <c r="AC358" s="62"/>
    </row>
    <row r="359" spans="7:29">
      <c r="G359" s="13"/>
      <c r="H359" s="13"/>
      <c r="I359" s="13"/>
      <c r="J359" s="13"/>
      <c r="M359" s="10">
        <f>+'30'!D1</f>
        <v>46172</v>
      </c>
      <c r="N359" s="11" t="str">
        <f>+'30'!A31</f>
        <v/>
      </c>
      <c r="O359" s="11">
        <f>+'30'!B31</f>
        <v>0</v>
      </c>
      <c r="P359" s="11">
        <f>+'30'!C31</f>
        <v>0</v>
      </c>
      <c r="Q359" s="11">
        <f>+'30'!D31</f>
        <v>0</v>
      </c>
      <c r="R359" s="13">
        <f>+'30'!E31</f>
        <v>0</v>
      </c>
      <c r="T359" s="10">
        <f>+'18'!D1</f>
        <v>46160</v>
      </c>
      <c r="U359" s="56" t="str">
        <f>+'18'!A52</f>
        <v/>
      </c>
      <c r="V359" s="56">
        <f>+'18'!B52</f>
        <v>0</v>
      </c>
      <c r="W359" s="56">
        <f>+'18'!C52</f>
        <v>0</v>
      </c>
      <c r="X359" s="56">
        <f>+'18'!D52</f>
        <v>0</v>
      </c>
      <c r="Y359" s="61">
        <f>+'18'!E52</f>
        <v>0</v>
      </c>
      <c r="AB359" s="56"/>
      <c r="AC359" s="62"/>
    </row>
    <row r="360" spans="7:29">
      <c r="G360" s="13"/>
      <c r="H360" s="13"/>
      <c r="I360" s="13"/>
      <c r="J360" s="13"/>
      <c r="M360" s="10">
        <f>+'30'!D1</f>
        <v>46172</v>
      </c>
      <c r="N360" s="11" t="str">
        <f>+'30'!A32</f>
        <v/>
      </c>
      <c r="O360" s="11">
        <f>+'30'!B32</f>
        <v>0</v>
      </c>
      <c r="P360" s="11">
        <f>+'30'!C32</f>
        <v>0</v>
      </c>
      <c r="Q360" s="11">
        <f>+'30'!D32</f>
        <v>0</v>
      </c>
      <c r="R360" s="13">
        <f>+'30'!E32</f>
        <v>0</v>
      </c>
      <c r="T360" s="10">
        <f>+'18'!D1</f>
        <v>46160</v>
      </c>
      <c r="U360" s="56" t="str">
        <f>+'18'!A53</f>
        <v/>
      </c>
      <c r="V360" s="56">
        <f>+'18'!B53</f>
        <v>0</v>
      </c>
      <c r="W360" s="56">
        <f>+'18'!C53</f>
        <v>0</v>
      </c>
      <c r="X360" s="56">
        <f>+'18'!D53</f>
        <v>0</v>
      </c>
      <c r="Y360" s="61">
        <f>+'18'!E53</f>
        <v>0</v>
      </c>
      <c r="AB360" s="56"/>
      <c r="AC360" s="62"/>
    </row>
    <row r="361" spans="7:29">
      <c r="G361" s="13"/>
      <c r="H361" s="13"/>
      <c r="I361" s="13"/>
      <c r="J361" s="13"/>
      <c r="M361" s="10">
        <f>+'30'!D1</f>
        <v>46172</v>
      </c>
      <c r="N361" s="11" t="str">
        <f>+'30'!A33</f>
        <v/>
      </c>
      <c r="O361" s="11">
        <f>+'30'!B33</f>
        <v>0</v>
      </c>
      <c r="P361" s="11">
        <f>+'30'!C33</f>
        <v>0</v>
      </c>
      <c r="Q361" s="11">
        <f>+'30'!D33</f>
        <v>0</v>
      </c>
      <c r="R361" s="13">
        <f>+'30'!E33</f>
        <v>0</v>
      </c>
      <c r="T361" s="10">
        <f>+'18'!D1</f>
        <v>46160</v>
      </c>
      <c r="U361" s="56" t="str">
        <f>+'18'!A54</f>
        <v/>
      </c>
      <c r="V361" s="56">
        <f>+'18'!B54</f>
        <v>0</v>
      </c>
      <c r="W361" s="56">
        <f>+'18'!C54</f>
        <v>0</v>
      </c>
      <c r="X361" s="56">
        <f>+'18'!D54</f>
        <v>0</v>
      </c>
      <c r="Y361" s="61">
        <f>+'18'!E54</f>
        <v>0</v>
      </c>
      <c r="AB361" s="56"/>
      <c r="AC361" s="62"/>
    </row>
    <row r="362" spans="7:29">
      <c r="G362" s="13"/>
      <c r="H362" s="13"/>
      <c r="I362" s="13"/>
      <c r="J362" s="13"/>
      <c r="M362" s="10">
        <f>+'30'!D1</f>
        <v>46172</v>
      </c>
      <c r="N362" s="11" t="str">
        <f>+'30'!A34</f>
        <v/>
      </c>
      <c r="O362" s="11">
        <f>+'30'!B34</f>
        <v>0</v>
      </c>
      <c r="P362" s="11">
        <f>+'30'!C34</f>
        <v>0</v>
      </c>
      <c r="Q362" s="11">
        <f>+'30'!D34</f>
        <v>0</v>
      </c>
      <c r="R362" s="13">
        <f>+'30'!E34</f>
        <v>0</v>
      </c>
      <c r="T362" s="10">
        <f>+'18'!D1</f>
        <v>46160</v>
      </c>
      <c r="U362" s="56" t="str">
        <f>+'18'!A55</f>
        <v/>
      </c>
      <c r="V362" s="56">
        <f>+'18'!B55</f>
        <v>0</v>
      </c>
      <c r="W362" s="56">
        <f>+'18'!C55</f>
        <v>0</v>
      </c>
      <c r="X362" s="56">
        <f>+'18'!D55</f>
        <v>0</v>
      </c>
      <c r="Y362" s="61">
        <f>+'18'!E55</f>
        <v>0</v>
      </c>
      <c r="AB362" s="56"/>
      <c r="AC362" s="62"/>
    </row>
    <row r="363" spans="7:29">
      <c r="G363" s="13"/>
      <c r="H363" s="13"/>
      <c r="I363" s="13"/>
      <c r="J363" s="13"/>
      <c r="M363" s="10">
        <f>+'31'!D1</f>
        <v>46173</v>
      </c>
      <c r="N363" s="11" t="str">
        <f>+'31'!A23</f>
        <v/>
      </c>
      <c r="O363" s="11">
        <f>+'31'!B23</f>
        <v>0</v>
      </c>
      <c r="P363" s="11">
        <f>+'31'!C23</f>
        <v>0</v>
      </c>
      <c r="Q363" s="11">
        <f>+'31'!D23</f>
        <v>0</v>
      </c>
      <c r="R363" s="13">
        <f>+'31'!E23</f>
        <v>0</v>
      </c>
      <c r="T363" s="10">
        <f>+'19'!D1</f>
        <v>46161</v>
      </c>
      <c r="U363" s="56" t="str">
        <f>+'19'!A36</f>
        <v/>
      </c>
      <c r="V363" s="56">
        <f>+'19'!B36</f>
        <v>0</v>
      </c>
      <c r="W363" s="56">
        <f>+'19'!C36</f>
        <v>0</v>
      </c>
      <c r="X363" s="56">
        <f>+'19'!D36</f>
        <v>0</v>
      </c>
      <c r="Y363" s="61">
        <f>+'19'!E36</f>
        <v>0</v>
      </c>
      <c r="AB363" s="56"/>
      <c r="AC363" s="62"/>
    </row>
    <row r="364" spans="7:29">
      <c r="G364" s="13"/>
      <c r="H364" s="13"/>
      <c r="I364" s="13"/>
      <c r="J364" s="13"/>
      <c r="M364" s="10">
        <f>+'31'!D1</f>
        <v>46173</v>
      </c>
      <c r="N364" s="11" t="str">
        <f>+'31'!A24</f>
        <v/>
      </c>
      <c r="O364" s="11">
        <f>+'31'!B24</f>
        <v>0</v>
      </c>
      <c r="P364" s="11">
        <f>+'31'!C24</f>
        <v>0</v>
      </c>
      <c r="Q364" s="11">
        <f>+'31'!D24</f>
        <v>0</v>
      </c>
      <c r="R364" s="13">
        <f>+'31'!E24</f>
        <v>0</v>
      </c>
      <c r="T364" s="10">
        <f>+'19'!D1</f>
        <v>46161</v>
      </c>
      <c r="U364" s="56" t="str">
        <f>+'19'!A37</f>
        <v/>
      </c>
      <c r="V364" s="56">
        <f>+'19'!B37</f>
        <v>0</v>
      </c>
      <c r="W364" s="56">
        <f>+'19'!C37</f>
        <v>0</v>
      </c>
      <c r="X364" s="56">
        <f>+'19'!D37</f>
        <v>0</v>
      </c>
      <c r="Y364" s="61">
        <f>+'19'!E37</f>
        <v>0</v>
      </c>
      <c r="AB364" s="56"/>
      <c r="AC364" s="62"/>
    </row>
    <row r="365" spans="7:29">
      <c r="G365" s="13"/>
      <c r="H365" s="13"/>
      <c r="I365" s="13"/>
      <c r="J365" s="13"/>
      <c r="M365" s="10">
        <f>+'31'!D1</f>
        <v>46173</v>
      </c>
      <c r="N365" s="11" t="str">
        <f>+'31'!A25</f>
        <v/>
      </c>
      <c r="O365" s="11">
        <f>+'31'!B25</f>
        <v>0</v>
      </c>
      <c r="P365" s="11">
        <f>+'31'!C25</f>
        <v>0</v>
      </c>
      <c r="Q365" s="11">
        <f>+'31'!D25</f>
        <v>0</v>
      </c>
      <c r="R365" s="13">
        <f>+'31'!E25</f>
        <v>0</v>
      </c>
      <c r="T365" s="10">
        <f>+'19'!D1</f>
        <v>46161</v>
      </c>
      <c r="U365" s="56" t="str">
        <f>+'19'!A38</f>
        <v/>
      </c>
      <c r="V365" s="56">
        <f>+'19'!B38</f>
        <v>0</v>
      </c>
      <c r="W365" s="56">
        <f>+'19'!C38</f>
        <v>0</v>
      </c>
      <c r="X365" s="56">
        <f>+'19'!D38</f>
        <v>0</v>
      </c>
      <c r="Y365" s="61">
        <f>+'19'!E38</f>
        <v>0</v>
      </c>
      <c r="AB365" s="56"/>
      <c r="AC365" s="62"/>
    </row>
    <row r="366" spans="7:29">
      <c r="G366" s="13"/>
      <c r="H366" s="13"/>
      <c r="I366" s="13"/>
      <c r="J366" s="13"/>
      <c r="M366" s="10">
        <f>+'31'!D1</f>
        <v>46173</v>
      </c>
      <c r="N366" s="11" t="str">
        <f>+'31'!A26</f>
        <v/>
      </c>
      <c r="O366" s="11">
        <f>+'31'!B26</f>
        <v>0</v>
      </c>
      <c r="P366" s="11">
        <f>+'31'!C26</f>
        <v>0</v>
      </c>
      <c r="Q366" s="11">
        <f>+'31'!D26</f>
        <v>0</v>
      </c>
      <c r="R366" s="13">
        <f>+'31'!E26</f>
        <v>0</v>
      </c>
      <c r="T366" s="10">
        <f>+'19'!D1</f>
        <v>46161</v>
      </c>
      <c r="U366" s="56" t="str">
        <f>+'19'!A39</f>
        <v/>
      </c>
      <c r="V366" s="56">
        <f>+'19'!B39</f>
        <v>0</v>
      </c>
      <c r="W366" s="56">
        <f>+'19'!C39</f>
        <v>0</v>
      </c>
      <c r="X366" s="56">
        <f>+'19'!D39</f>
        <v>0</v>
      </c>
      <c r="Y366" s="61">
        <f>+'19'!E39</f>
        <v>0</v>
      </c>
      <c r="AB366" s="56"/>
      <c r="AC366" s="62"/>
    </row>
    <row r="367" spans="7:29">
      <c r="G367" s="13"/>
      <c r="H367" s="13"/>
      <c r="I367" s="13"/>
      <c r="J367" s="13"/>
      <c r="M367" s="10">
        <f>+'31'!D1</f>
        <v>46173</v>
      </c>
      <c r="N367" s="11" t="str">
        <f>+'31'!A27</f>
        <v/>
      </c>
      <c r="O367" s="11">
        <f>+'31'!B27</f>
        <v>0</v>
      </c>
      <c r="P367" s="11">
        <f>+'31'!C27</f>
        <v>0</v>
      </c>
      <c r="Q367" s="11">
        <f>+'31'!D27</f>
        <v>0</v>
      </c>
      <c r="R367" s="13">
        <f>+'31'!E27</f>
        <v>0</v>
      </c>
      <c r="T367" s="10">
        <f>+'19'!D1</f>
        <v>46161</v>
      </c>
      <c r="U367" s="56" t="str">
        <f>+'19'!A40</f>
        <v/>
      </c>
      <c r="V367" s="56">
        <f>+'19'!B40</f>
        <v>0</v>
      </c>
      <c r="W367" s="56">
        <f>+'19'!C40</f>
        <v>0</v>
      </c>
      <c r="X367" s="56">
        <f>+'19'!D40</f>
        <v>0</v>
      </c>
      <c r="Y367" s="61">
        <f>+'19'!E40</f>
        <v>0</v>
      </c>
      <c r="AB367" s="56"/>
      <c r="AC367" s="62"/>
    </row>
    <row r="368" spans="7:29">
      <c r="G368" s="13"/>
      <c r="H368" s="13"/>
      <c r="I368" s="13"/>
      <c r="J368" s="13"/>
      <c r="M368" s="10">
        <f>+'31'!D1</f>
        <v>46173</v>
      </c>
      <c r="N368" s="11" t="str">
        <f>+'31'!A28</f>
        <v/>
      </c>
      <c r="O368" s="11">
        <f>+'31'!B28</f>
        <v>0</v>
      </c>
      <c r="P368" s="11">
        <f>+'31'!C28</f>
        <v>0</v>
      </c>
      <c r="Q368" s="11">
        <f>+'31'!D28</f>
        <v>0</v>
      </c>
      <c r="R368" s="13">
        <f>+'31'!E28</f>
        <v>0</v>
      </c>
      <c r="T368" s="10">
        <f>+'19'!D1</f>
        <v>46161</v>
      </c>
      <c r="U368" s="56" t="str">
        <f>+'19'!A41</f>
        <v/>
      </c>
      <c r="V368" s="56">
        <f>+'19'!B41</f>
        <v>0</v>
      </c>
      <c r="W368" s="56">
        <f>+'19'!C41</f>
        <v>0</v>
      </c>
      <c r="X368" s="56">
        <f>+'19'!D41</f>
        <v>0</v>
      </c>
      <c r="Y368" s="61">
        <f>+'19'!E41</f>
        <v>0</v>
      </c>
      <c r="AB368" s="56"/>
      <c r="AC368" s="62"/>
    </row>
    <row r="369" spans="7:29">
      <c r="G369" s="13"/>
      <c r="H369" s="13"/>
      <c r="I369" s="13"/>
      <c r="J369" s="13"/>
      <c r="M369" s="10">
        <f>+'31'!D1</f>
        <v>46173</v>
      </c>
      <c r="N369" s="11" t="str">
        <f>+'31'!A29</f>
        <v/>
      </c>
      <c r="O369" s="11">
        <f>+'31'!B29</f>
        <v>0</v>
      </c>
      <c r="P369" s="11">
        <f>+'31'!C29</f>
        <v>0</v>
      </c>
      <c r="Q369" s="11">
        <f>+'31'!D29</f>
        <v>0</v>
      </c>
      <c r="R369" s="13">
        <f>+'31'!E29</f>
        <v>0</v>
      </c>
      <c r="T369" s="10">
        <f>+'19'!D1</f>
        <v>46161</v>
      </c>
      <c r="U369" s="56" t="str">
        <f>+'19'!A42</f>
        <v/>
      </c>
      <c r="V369" s="56">
        <f>+'19'!B42</f>
        <v>0</v>
      </c>
      <c r="W369" s="56">
        <f>+'19'!C42</f>
        <v>0</v>
      </c>
      <c r="X369" s="56">
        <f>+'19'!D42</f>
        <v>0</v>
      </c>
      <c r="Y369" s="61">
        <f>+'19'!E42</f>
        <v>0</v>
      </c>
      <c r="AB369" s="56"/>
      <c r="AC369" s="62"/>
    </row>
    <row r="370" spans="7:29">
      <c r="G370" s="13"/>
      <c r="H370" s="13"/>
      <c r="I370" s="13"/>
      <c r="J370" s="13"/>
      <c r="M370" s="10">
        <f>+'31'!D1</f>
        <v>46173</v>
      </c>
      <c r="N370" s="11" t="str">
        <f>+'31'!A30</f>
        <v/>
      </c>
      <c r="O370" s="11">
        <f>+'31'!B30</f>
        <v>0</v>
      </c>
      <c r="P370" s="11">
        <f>+'31'!C30</f>
        <v>0</v>
      </c>
      <c r="Q370" s="11">
        <f>+'31'!D30</f>
        <v>0</v>
      </c>
      <c r="R370" s="13">
        <f>+'31'!E30</f>
        <v>0</v>
      </c>
      <c r="T370" s="10">
        <f>+'19'!D1</f>
        <v>46161</v>
      </c>
      <c r="U370" s="56" t="str">
        <f>+'19'!A43</f>
        <v/>
      </c>
      <c r="V370" s="56">
        <f>+'19'!B43</f>
        <v>0</v>
      </c>
      <c r="W370" s="56">
        <f>+'19'!C43</f>
        <v>0</v>
      </c>
      <c r="X370" s="56">
        <f>+'19'!D43</f>
        <v>0</v>
      </c>
      <c r="Y370" s="61">
        <f>+'19'!E43</f>
        <v>0</v>
      </c>
      <c r="AB370" s="56"/>
      <c r="AC370" s="62"/>
    </row>
    <row r="371" spans="7:29">
      <c r="G371" s="13"/>
      <c r="H371" s="13"/>
      <c r="I371" s="13"/>
      <c r="J371" s="13"/>
      <c r="M371" s="10">
        <f>+'31'!D1</f>
        <v>46173</v>
      </c>
      <c r="N371" s="11" t="str">
        <f>+'31'!A31</f>
        <v/>
      </c>
      <c r="O371" s="11">
        <f>+'31'!B31</f>
        <v>0</v>
      </c>
      <c r="P371" s="11">
        <f>+'31'!C31</f>
        <v>0</v>
      </c>
      <c r="Q371" s="11">
        <f>+'31'!D31</f>
        <v>0</v>
      </c>
      <c r="R371" s="13">
        <f>+'31'!E31</f>
        <v>0</v>
      </c>
      <c r="T371" s="10">
        <f>+'19'!D1</f>
        <v>46161</v>
      </c>
      <c r="U371" s="56" t="str">
        <f>+'19'!A44</f>
        <v/>
      </c>
      <c r="V371" s="56">
        <f>+'19'!B44</f>
        <v>0</v>
      </c>
      <c r="W371" s="56">
        <f>+'19'!C44</f>
        <v>0</v>
      </c>
      <c r="X371" s="56">
        <f>+'19'!D44</f>
        <v>0</v>
      </c>
      <c r="Y371" s="61">
        <f>+'19'!E44</f>
        <v>0</v>
      </c>
      <c r="AB371" s="56"/>
      <c r="AC371" s="62"/>
    </row>
    <row r="372" spans="7:29">
      <c r="G372" s="13"/>
      <c r="H372" s="13"/>
      <c r="I372" s="13"/>
      <c r="J372" s="13"/>
      <c r="M372" s="10">
        <f>+'31'!D1</f>
        <v>46173</v>
      </c>
      <c r="N372" s="11" t="str">
        <f>+'31'!A32</f>
        <v/>
      </c>
      <c r="O372" s="11">
        <f>+'31'!B32</f>
        <v>0</v>
      </c>
      <c r="P372" s="11">
        <f>+'31'!C32</f>
        <v>0</v>
      </c>
      <c r="Q372" s="11">
        <f>+'31'!D32</f>
        <v>0</v>
      </c>
      <c r="R372" s="13">
        <f>+'31'!E32</f>
        <v>0</v>
      </c>
      <c r="T372" s="10">
        <f>+'19'!D1</f>
        <v>46161</v>
      </c>
      <c r="U372" s="56" t="str">
        <f>+'19'!A45</f>
        <v/>
      </c>
      <c r="V372" s="56">
        <f>+'19'!B45</f>
        <v>0</v>
      </c>
      <c r="W372" s="56">
        <f>+'19'!C45</f>
        <v>0</v>
      </c>
      <c r="X372" s="56">
        <f>+'19'!D45</f>
        <v>0</v>
      </c>
      <c r="Y372" s="61">
        <f>+'19'!E45</f>
        <v>0</v>
      </c>
      <c r="AB372" s="56"/>
      <c r="AC372" s="62"/>
    </row>
    <row r="373" spans="7:29">
      <c r="G373" s="13"/>
      <c r="H373" s="13"/>
      <c r="I373" s="13"/>
      <c r="J373" s="13"/>
      <c r="M373" s="10">
        <f>+'31'!D1</f>
        <v>46173</v>
      </c>
      <c r="N373" s="11" t="str">
        <f>+'31'!A33</f>
        <v/>
      </c>
      <c r="O373" s="11">
        <f>+'31'!B33</f>
        <v>0</v>
      </c>
      <c r="P373" s="11">
        <f>+'31'!C33</f>
        <v>0</v>
      </c>
      <c r="Q373" s="11">
        <f>+'31'!D33</f>
        <v>0</v>
      </c>
      <c r="R373" s="13">
        <f>+'31'!E33</f>
        <v>0</v>
      </c>
      <c r="T373" s="10">
        <f>+'19'!D1</f>
        <v>46161</v>
      </c>
      <c r="U373" s="56" t="str">
        <f>+'19'!A46</f>
        <v/>
      </c>
      <c r="V373" s="56">
        <f>+'19'!B46</f>
        <v>0</v>
      </c>
      <c r="W373" s="56">
        <f>+'19'!C46</f>
        <v>0</v>
      </c>
      <c r="X373" s="56">
        <f>+'19'!D46</f>
        <v>0</v>
      </c>
      <c r="Y373" s="61">
        <f>+'19'!E46</f>
        <v>0</v>
      </c>
      <c r="AB373" s="56"/>
      <c r="AC373" s="62"/>
    </row>
    <row r="374" spans="7:29">
      <c r="G374" s="13"/>
      <c r="H374" s="13"/>
      <c r="I374" s="13"/>
      <c r="J374" s="13"/>
      <c r="M374" s="10">
        <f>+'31'!D1</f>
        <v>46173</v>
      </c>
      <c r="N374" s="11" t="str">
        <f>+'31'!A34</f>
        <v/>
      </c>
      <c r="O374" s="11">
        <f>+'31'!B34</f>
        <v>0</v>
      </c>
      <c r="P374" s="11">
        <f>+'31'!C34</f>
        <v>0</v>
      </c>
      <c r="Q374" s="11">
        <f>+'31'!D34</f>
        <v>0</v>
      </c>
      <c r="R374" s="13">
        <f>+'31'!E34</f>
        <v>0</v>
      </c>
      <c r="T374" s="10">
        <f>+'19'!D1</f>
        <v>46161</v>
      </c>
      <c r="U374" s="56" t="str">
        <f>+'19'!A47</f>
        <v/>
      </c>
      <c r="V374" s="56">
        <f>+'19'!B47</f>
        <v>0</v>
      </c>
      <c r="W374" s="56">
        <f>+'19'!C47</f>
        <v>0</v>
      </c>
      <c r="X374" s="56">
        <f>+'19'!D47</f>
        <v>0</v>
      </c>
      <c r="Y374" s="61">
        <f>+'19'!E47</f>
        <v>0</v>
      </c>
      <c r="AB374" s="56"/>
      <c r="AC374" s="62"/>
    </row>
    <row r="375" spans="7:29">
      <c r="G375" s="13"/>
      <c r="H375" s="13"/>
      <c r="I375" s="13"/>
      <c r="J375" s="13"/>
      <c r="O375" s="11"/>
      <c r="P375" s="11"/>
      <c r="Q375" s="11"/>
      <c r="T375" s="10">
        <f>+'19'!D1</f>
        <v>46161</v>
      </c>
      <c r="U375" s="56" t="str">
        <f>+'19'!A48</f>
        <v/>
      </c>
      <c r="V375" s="56">
        <f>+'19'!B48</f>
        <v>0</v>
      </c>
      <c r="W375" s="56">
        <f>+'19'!C48</f>
        <v>0</v>
      </c>
      <c r="X375" s="56">
        <f>+'19'!D48</f>
        <v>0</v>
      </c>
      <c r="Y375" s="61">
        <f>+'19'!E48</f>
        <v>0</v>
      </c>
      <c r="AB375" s="56"/>
      <c r="AC375" s="62"/>
    </row>
    <row r="376" spans="7:29">
      <c r="G376" s="13"/>
      <c r="H376" s="13"/>
      <c r="I376" s="13"/>
      <c r="J376" s="13"/>
      <c r="O376" s="11"/>
      <c r="P376" s="11"/>
      <c r="Q376" s="11"/>
      <c r="T376" s="10">
        <f>+'19'!D1</f>
        <v>46161</v>
      </c>
      <c r="U376" s="56" t="str">
        <f>+'19'!A49</f>
        <v/>
      </c>
      <c r="V376" s="56">
        <f>+'19'!B49</f>
        <v>0</v>
      </c>
      <c r="W376" s="56">
        <f>+'19'!C49</f>
        <v>0</v>
      </c>
      <c r="X376" s="56">
        <f>+'19'!D49</f>
        <v>0</v>
      </c>
      <c r="Y376" s="61">
        <f>+'19'!E49</f>
        <v>0</v>
      </c>
      <c r="AB376" s="56"/>
      <c r="AC376" s="62"/>
    </row>
    <row r="377" spans="7:29">
      <c r="G377" s="13"/>
      <c r="H377" s="13"/>
      <c r="I377" s="13"/>
      <c r="J377" s="13"/>
      <c r="O377" s="11"/>
      <c r="P377" s="11"/>
      <c r="Q377" s="11"/>
      <c r="T377" s="10">
        <f>+'19'!D1</f>
        <v>46161</v>
      </c>
      <c r="U377" s="56" t="str">
        <f>+'19'!A50</f>
        <v/>
      </c>
      <c r="V377" s="56">
        <f>+'19'!B50</f>
        <v>0</v>
      </c>
      <c r="W377" s="56">
        <f>+'19'!C50</f>
        <v>0</v>
      </c>
      <c r="X377" s="56">
        <f>+'19'!D50</f>
        <v>0</v>
      </c>
      <c r="Y377" s="61">
        <f>+'19'!E50</f>
        <v>0</v>
      </c>
      <c r="AB377" s="56"/>
      <c r="AC377" s="62"/>
    </row>
    <row r="378" spans="7:29">
      <c r="G378" s="13"/>
      <c r="H378" s="13"/>
      <c r="I378" s="13"/>
      <c r="J378" s="13"/>
      <c r="O378" s="11"/>
      <c r="P378" s="11"/>
      <c r="Q378" s="11"/>
      <c r="T378" s="10">
        <f>+'19'!D1</f>
        <v>46161</v>
      </c>
      <c r="U378" s="56" t="str">
        <f>+'19'!A51</f>
        <v/>
      </c>
      <c r="V378" s="56">
        <f>+'19'!B51</f>
        <v>0</v>
      </c>
      <c r="W378" s="56">
        <f>+'19'!C51</f>
        <v>0</v>
      </c>
      <c r="X378" s="56">
        <f>+'19'!D51</f>
        <v>0</v>
      </c>
      <c r="Y378" s="61">
        <f>+'19'!E51</f>
        <v>0</v>
      </c>
      <c r="AB378" s="56"/>
      <c r="AC378" s="62"/>
    </row>
    <row r="379" spans="7:29">
      <c r="G379" s="13"/>
      <c r="H379" s="13"/>
      <c r="I379" s="13"/>
      <c r="J379" s="13"/>
      <c r="O379" s="11"/>
      <c r="P379" s="11"/>
      <c r="Q379" s="11"/>
      <c r="T379" s="10">
        <f>+'19'!D1</f>
        <v>46161</v>
      </c>
      <c r="U379" s="56" t="str">
        <f>+'19'!A52</f>
        <v/>
      </c>
      <c r="V379" s="56">
        <f>+'19'!B52</f>
        <v>0</v>
      </c>
      <c r="W379" s="56">
        <f>+'19'!C52</f>
        <v>0</v>
      </c>
      <c r="X379" s="56">
        <f>+'19'!D52</f>
        <v>0</v>
      </c>
      <c r="Y379" s="61">
        <f>+'19'!E52</f>
        <v>0</v>
      </c>
      <c r="AB379" s="56"/>
      <c r="AC379" s="62"/>
    </row>
    <row r="380" spans="7:29">
      <c r="G380" s="13"/>
      <c r="H380" s="13"/>
      <c r="I380" s="13"/>
      <c r="J380" s="13"/>
      <c r="O380" s="11"/>
      <c r="P380" s="11"/>
      <c r="Q380" s="11"/>
      <c r="T380" s="10">
        <f>+'19'!D1</f>
        <v>46161</v>
      </c>
      <c r="U380" s="56" t="str">
        <f>+'19'!A53</f>
        <v/>
      </c>
      <c r="V380" s="56">
        <f>+'19'!B53</f>
        <v>0</v>
      </c>
      <c r="W380" s="56">
        <f>+'19'!C53</f>
        <v>0</v>
      </c>
      <c r="X380" s="56">
        <f>+'19'!D53</f>
        <v>0</v>
      </c>
      <c r="Y380" s="61">
        <f>+'19'!E53</f>
        <v>0</v>
      </c>
      <c r="AB380" s="56"/>
      <c r="AC380" s="62"/>
    </row>
    <row r="381" spans="7:29">
      <c r="G381" s="13"/>
      <c r="H381" s="13"/>
      <c r="I381" s="13"/>
      <c r="J381" s="13"/>
      <c r="N381" s="13"/>
      <c r="O381" s="13"/>
      <c r="P381" s="13"/>
      <c r="Q381" s="13"/>
      <c r="T381" s="10">
        <f>+'19'!D1</f>
        <v>46161</v>
      </c>
      <c r="U381" s="56" t="str">
        <f>+'19'!A54</f>
        <v/>
      </c>
      <c r="V381" s="56">
        <f>+'19'!B54</f>
        <v>0</v>
      </c>
      <c r="W381" s="56">
        <f>+'19'!C54</f>
        <v>0</v>
      </c>
      <c r="X381" s="56">
        <f>+'19'!D54</f>
        <v>0</v>
      </c>
      <c r="Y381" s="61">
        <f>+'19'!E54</f>
        <v>0</v>
      </c>
      <c r="AB381" s="56"/>
      <c r="AC381" s="62"/>
    </row>
    <row r="382" spans="7:29">
      <c r="G382" s="13"/>
      <c r="H382" s="13"/>
      <c r="I382" s="13"/>
      <c r="J382" s="13"/>
      <c r="N382" s="13"/>
      <c r="O382" s="13"/>
      <c r="P382" s="13"/>
      <c r="Q382" s="13"/>
      <c r="T382" s="10">
        <f>+'19'!D1</f>
        <v>46161</v>
      </c>
      <c r="U382" s="56" t="str">
        <f>+'19'!A55</f>
        <v/>
      </c>
      <c r="V382" s="56">
        <f>+'19'!B55</f>
        <v>0</v>
      </c>
      <c r="W382" s="56">
        <f>+'19'!C55</f>
        <v>0</v>
      </c>
      <c r="X382" s="56">
        <f>+'19'!D55</f>
        <v>0</v>
      </c>
      <c r="Y382" s="61">
        <f>+'19'!E55</f>
        <v>0</v>
      </c>
      <c r="AB382" s="56"/>
      <c r="AC382" s="62"/>
    </row>
    <row r="383" spans="7:29">
      <c r="G383" s="13"/>
      <c r="H383" s="13"/>
      <c r="I383" s="13"/>
      <c r="J383" s="13"/>
      <c r="N383" s="13"/>
      <c r="O383" s="13"/>
      <c r="P383" s="13"/>
      <c r="Q383" s="13"/>
      <c r="T383" s="10">
        <f>+'20'!D1</f>
        <v>46162</v>
      </c>
      <c r="U383" s="56" t="str">
        <f>+'20'!A36</f>
        <v/>
      </c>
      <c r="V383" s="56">
        <f>+'20'!B36</f>
        <v>0</v>
      </c>
      <c r="W383" s="56">
        <f>+'20'!C36</f>
        <v>0</v>
      </c>
      <c r="X383" s="56">
        <f>+'20'!D36</f>
        <v>0</v>
      </c>
      <c r="Y383" s="61">
        <f>+'20'!E36</f>
        <v>0</v>
      </c>
      <c r="AB383" s="56"/>
      <c r="AC383" s="62"/>
    </row>
    <row r="384" spans="7:29">
      <c r="G384" s="13"/>
      <c r="H384" s="13"/>
      <c r="I384" s="13"/>
      <c r="J384" s="13"/>
      <c r="N384" s="13"/>
      <c r="O384" s="13"/>
      <c r="P384" s="13"/>
      <c r="Q384" s="13"/>
      <c r="T384" s="10">
        <f>+'20'!D1</f>
        <v>46162</v>
      </c>
      <c r="U384" s="56" t="str">
        <f>+'20'!A37</f>
        <v/>
      </c>
      <c r="V384" s="56">
        <f>+'20'!B37</f>
        <v>0</v>
      </c>
      <c r="W384" s="56">
        <f>+'20'!C37</f>
        <v>0</v>
      </c>
      <c r="X384" s="56">
        <f>+'20'!D37</f>
        <v>0</v>
      </c>
      <c r="Y384" s="61">
        <f>+'20'!E37</f>
        <v>0</v>
      </c>
      <c r="AB384" s="56"/>
      <c r="AC384" s="62"/>
    </row>
    <row r="385" spans="7:29">
      <c r="G385" s="13"/>
      <c r="H385" s="13"/>
      <c r="I385" s="13"/>
      <c r="J385" s="13"/>
      <c r="N385" s="13"/>
      <c r="O385" s="13"/>
      <c r="P385" s="13"/>
      <c r="Q385" s="13"/>
      <c r="T385" s="10">
        <f>+'20'!D1</f>
        <v>46162</v>
      </c>
      <c r="U385" s="56" t="str">
        <f>+'20'!A38</f>
        <v/>
      </c>
      <c r="V385" s="56">
        <f>+'20'!B38</f>
        <v>0</v>
      </c>
      <c r="W385" s="56">
        <f>+'20'!C38</f>
        <v>0</v>
      </c>
      <c r="X385" s="56">
        <f>+'20'!D38</f>
        <v>0</v>
      </c>
      <c r="Y385" s="61">
        <f>+'20'!E38</f>
        <v>0</v>
      </c>
      <c r="AB385" s="56"/>
      <c r="AC385" s="62"/>
    </row>
    <row r="386" spans="7:29">
      <c r="G386" s="13"/>
      <c r="H386" s="13"/>
      <c r="I386" s="13"/>
      <c r="J386" s="13"/>
      <c r="N386" s="13"/>
      <c r="O386" s="13"/>
      <c r="P386" s="13"/>
      <c r="Q386" s="13"/>
      <c r="T386" s="10">
        <f>+'20'!D1</f>
        <v>46162</v>
      </c>
      <c r="U386" s="56" t="str">
        <f>+'20'!A39</f>
        <v/>
      </c>
      <c r="V386" s="56">
        <f>+'20'!B39</f>
        <v>0</v>
      </c>
      <c r="W386" s="56">
        <f>+'20'!C39</f>
        <v>0</v>
      </c>
      <c r="X386" s="56">
        <f>+'20'!D39</f>
        <v>0</v>
      </c>
      <c r="Y386" s="61">
        <f>+'20'!E39</f>
        <v>0</v>
      </c>
      <c r="AB386" s="56"/>
      <c r="AC386" s="62"/>
    </row>
    <row r="387" spans="7:29">
      <c r="G387" s="13"/>
      <c r="H387" s="13"/>
      <c r="I387" s="13"/>
      <c r="J387" s="13"/>
      <c r="N387" s="13"/>
      <c r="O387" s="13"/>
      <c r="P387" s="13"/>
      <c r="Q387" s="13"/>
      <c r="T387" s="10">
        <f>+'20'!D1</f>
        <v>46162</v>
      </c>
      <c r="U387" s="56" t="str">
        <f>+'20'!A40</f>
        <v/>
      </c>
      <c r="V387" s="56">
        <f>+'20'!B40</f>
        <v>0</v>
      </c>
      <c r="W387" s="56">
        <f>+'20'!C40</f>
        <v>0</v>
      </c>
      <c r="X387" s="56">
        <f>+'20'!D40</f>
        <v>0</v>
      </c>
      <c r="Y387" s="61">
        <f>+'20'!E40</f>
        <v>0</v>
      </c>
      <c r="AB387" s="56"/>
      <c r="AC387" s="62"/>
    </row>
    <row r="388" spans="7:29">
      <c r="G388" s="13"/>
      <c r="H388" s="13"/>
      <c r="I388" s="13"/>
      <c r="J388" s="13"/>
      <c r="N388" s="13"/>
      <c r="O388" s="13"/>
      <c r="P388" s="13"/>
      <c r="Q388" s="13"/>
      <c r="T388" s="10">
        <f>+'20'!D1</f>
        <v>46162</v>
      </c>
      <c r="U388" s="56" t="str">
        <f>+'20'!A41</f>
        <v/>
      </c>
      <c r="V388" s="56">
        <f>+'20'!B41</f>
        <v>0</v>
      </c>
      <c r="W388" s="56">
        <f>+'20'!C41</f>
        <v>0</v>
      </c>
      <c r="X388" s="56">
        <f>+'20'!D41</f>
        <v>0</v>
      </c>
      <c r="Y388" s="61">
        <f>+'20'!E41</f>
        <v>0</v>
      </c>
      <c r="AB388" s="56"/>
      <c r="AC388" s="62"/>
    </row>
    <row r="389" spans="7:29">
      <c r="G389" s="13"/>
      <c r="H389" s="13"/>
      <c r="I389" s="13"/>
      <c r="J389" s="13"/>
      <c r="N389" s="13"/>
      <c r="O389" s="13"/>
      <c r="P389" s="13"/>
      <c r="Q389" s="13"/>
      <c r="T389" s="10">
        <f>+'20'!D1</f>
        <v>46162</v>
      </c>
      <c r="U389" s="56" t="str">
        <f>+'20'!A42</f>
        <v/>
      </c>
      <c r="V389" s="56">
        <f>+'20'!B42</f>
        <v>0</v>
      </c>
      <c r="W389" s="56">
        <f>+'20'!C42</f>
        <v>0</v>
      </c>
      <c r="X389" s="56">
        <f>+'20'!D42</f>
        <v>0</v>
      </c>
      <c r="Y389" s="61">
        <f>+'20'!E42</f>
        <v>0</v>
      </c>
      <c r="AB389" s="56"/>
      <c r="AC389" s="62"/>
    </row>
    <row r="390" spans="7:29">
      <c r="G390" s="13"/>
      <c r="H390" s="13"/>
      <c r="I390" s="13"/>
      <c r="J390" s="13"/>
      <c r="N390" s="13"/>
      <c r="O390" s="13"/>
      <c r="P390" s="13"/>
      <c r="Q390" s="13"/>
      <c r="T390" s="10">
        <f>+'20'!D1</f>
        <v>46162</v>
      </c>
      <c r="U390" s="56" t="str">
        <f>+'20'!A43</f>
        <v/>
      </c>
      <c r="V390" s="56">
        <f>+'20'!B43</f>
        <v>0</v>
      </c>
      <c r="W390" s="56">
        <f>+'20'!C43</f>
        <v>0</v>
      </c>
      <c r="X390" s="56">
        <f>+'20'!D43</f>
        <v>0</v>
      </c>
      <c r="Y390" s="61">
        <f>+'20'!E43</f>
        <v>0</v>
      </c>
      <c r="AB390" s="56"/>
      <c r="AC390" s="62"/>
    </row>
    <row r="391" spans="7:29">
      <c r="G391" s="13"/>
      <c r="H391" s="13"/>
      <c r="I391" s="13"/>
      <c r="J391" s="13"/>
      <c r="N391" s="13"/>
      <c r="O391" s="13"/>
      <c r="P391" s="13"/>
      <c r="Q391" s="13"/>
      <c r="T391" s="10">
        <f>+'20'!D1</f>
        <v>46162</v>
      </c>
      <c r="U391" s="56" t="str">
        <f>+'20'!A44</f>
        <v/>
      </c>
      <c r="V391" s="56">
        <f>+'20'!B44</f>
        <v>0</v>
      </c>
      <c r="W391" s="56">
        <f>+'20'!C44</f>
        <v>0</v>
      </c>
      <c r="X391" s="56">
        <f>+'20'!D44</f>
        <v>0</v>
      </c>
      <c r="Y391" s="61">
        <f>+'20'!E44</f>
        <v>0</v>
      </c>
      <c r="AB391" s="56"/>
      <c r="AC391" s="62"/>
    </row>
    <row r="392" spans="7:29">
      <c r="G392" s="13"/>
      <c r="H392" s="13"/>
      <c r="I392" s="13"/>
      <c r="J392" s="13"/>
      <c r="N392" s="13"/>
      <c r="O392" s="13"/>
      <c r="P392" s="13"/>
      <c r="Q392" s="13"/>
      <c r="T392" s="10">
        <f>+'20'!D1</f>
        <v>46162</v>
      </c>
      <c r="U392" s="56" t="str">
        <f>+'20'!A45</f>
        <v/>
      </c>
      <c r="V392" s="56">
        <f>+'20'!B45</f>
        <v>0</v>
      </c>
      <c r="W392" s="56">
        <f>+'20'!C45</f>
        <v>0</v>
      </c>
      <c r="X392" s="56">
        <f>+'20'!D45</f>
        <v>0</v>
      </c>
      <c r="Y392" s="61">
        <f>+'20'!E45</f>
        <v>0</v>
      </c>
      <c r="AB392" s="56"/>
      <c r="AC392" s="62"/>
    </row>
    <row r="393" spans="7:29">
      <c r="G393" s="13"/>
      <c r="H393" s="13"/>
      <c r="I393" s="13"/>
      <c r="J393" s="13"/>
      <c r="N393" s="13"/>
      <c r="O393" s="13"/>
      <c r="P393" s="13"/>
      <c r="Q393" s="13"/>
      <c r="T393" s="10">
        <f>+'20'!D1</f>
        <v>46162</v>
      </c>
      <c r="U393" s="56" t="str">
        <f>+'20'!A46</f>
        <v/>
      </c>
      <c r="V393" s="56">
        <f>+'20'!B46</f>
        <v>0</v>
      </c>
      <c r="W393" s="56">
        <f>+'20'!C46</f>
        <v>0</v>
      </c>
      <c r="X393" s="56">
        <f>+'20'!D46</f>
        <v>0</v>
      </c>
      <c r="Y393" s="61">
        <f>+'20'!E46</f>
        <v>0</v>
      </c>
      <c r="AB393" s="56"/>
      <c r="AC393" s="62"/>
    </row>
    <row r="394" spans="7:29">
      <c r="G394" s="13"/>
      <c r="H394" s="13"/>
      <c r="I394" s="13"/>
      <c r="J394" s="13"/>
      <c r="N394" s="13"/>
      <c r="O394" s="13"/>
      <c r="P394" s="13"/>
      <c r="Q394" s="13"/>
      <c r="T394" s="10">
        <f>+'20'!D1</f>
        <v>46162</v>
      </c>
      <c r="U394" s="56" t="str">
        <f>+'20'!A47</f>
        <v/>
      </c>
      <c r="V394" s="56">
        <f>+'20'!B47</f>
        <v>0</v>
      </c>
      <c r="W394" s="56">
        <f>+'20'!C47</f>
        <v>0</v>
      </c>
      <c r="X394" s="56">
        <f>+'20'!D47</f>
        <v>0</v>
      </c>
      <c r="Y394" s="61">
        <f>+'20'!E47</f>
        <v>0</v>
      </c>
      <c r="AB394" s="56"/>
      <c r="AC394" s="62"/>
    </row>
    <row r="395" spans="7:29">
      <c r="G395" s="13"/>
      <c r="H395" s="13"/>
      <c r="I395" s="13"/>
      <c r="J395" s="13"/>
      <c r="N395" s="13"/>
      <c r="O395" s="13"/>
      <c r="P395" s="13"/>
      <c r="Q395" s="13"/>
      <c r="T395" s="10">
        <f>+'20'!D1</f>
        <v>46162</v>
      </c>
      <c r="U395" s="56" t="str">
        <f>+'20'!A48</f>
        <v/>
      </c>
      <c r="V395" s="56">
        <f>+'20'!B48</f>
        <v>0</v>
      </c>
      <c r="W395" s="56">
        <f>+'20'!C48</f>
        <v>0</v>
      </c>
      <c r="X395" s="56">
        <f>+'20'!D48</f>
        <v>0</v>
      </c>
      <c r="Y395" s="61">
        <f>+'20'!E48</f>
        <v>0</v>
      </c>
      <c r="AB395" s="56"/>
      <c r="AC395" s="62"/>
    </row>
    <row r="396" spans="7:29">
      <c r="G396" s="13"/>
      <c r="H396" s="13"/>
      <c r="I396" s="13"/>
      <c r="J396" s="13"/>
      <c r="N396" s="13"/>
      <c r="O396" s="13"/>
      <c r="P396" s="13"/>
      <c r="Q396" s="13"/>
      <c r="T396" s="10">
        <f>+'20'!D1</f>
        <v>46162</v>
      </c>
      <c r="U396" s="56" t="str">
        <f>+'20'!A49</f>
        <v/>
      </c>
      <c r="V396" s="56">
        <f>+'20'!B49</f>
        <v>0</v>
      </c>
      <c r="W396" s="56">
        <f>+'20'!C49</f>
        <v>0</v>
      </c>
      <c r="X396" s="56">
        <f>+'20'!D49</f>
        <v>0</v>
      </c>
      <c r="Y396" s="61">
        <f>+'20'!E49</f>
        <v>0</v>
      </c>
      <c r="AB396" s="56"/>
      <c r="AC396" s="62"/>
    </row>
    <row r="397" spans="7:29">
      <c r="G397" s="13"/>
      <c r="H397" s="13"/>
      <c r="I397" s="13"/>
      <c r="J397" s="13"/>
      <c r="N397" s="13"/>
      <c r="O397" s="13"/>
      <c r="P397" s="13"/>
      <c r="Q397" s="13"/>
      <c r="T397" s="10">
        <f>+'20'!D1</f>
        <v>46162</v>
      </c>
      <c r="U397" s="56" t="str">
        <f>+'20'!A50</f>
        <v/>
      </c>
      <c r="V397" s="56">
        <f>+'20'!B50</f>
        <v>0</v>
      </c>
      <c r="W397" s="56">
        <f>+'20'!C50</f>
        <v>0</v>
      </c>
      <c r="X397" s="56">
        <f>+'20'!D50</f>
        <v>0</v>
      </c>
      <c r="Y397" s="61">
        <f>+'20'!E50</f>
        <v>0</v>
      </c>
      <c r="AB397" s="56"/>
      <c r="AC397" s="62"/>
    </row>
    <row r="398" spans="7:29">
      <c r="G398" s="13"/>
      <c r="H398" s="13"/>
      <c r="I398" s="13"/>
      <c r="J398" s="13"/>
      <c r="N398" s="13"/>
      <c r="O398" s="13"/>
      <c r="P398" s="13"/>
      <c r="Q398" s="13"/>
      <c r="T398" s="10">
        <f>+'20'!D1</f>
        <v>46162</v>
      </c>
      <c r="U398" s="56" t="str">
        <f>+'20'!A51</f>
        <v/>
      </c>
      <c r="V398" s="56">
        <f>+'20'!B51</f>
        <v>0</v>
      </c>
      <c r="W398" s="56">
        <f>+'20'!C51</f>
        <v>0</v>
      </c>
      <c r="X398" s="56">
        <f>+'20'!D51</f>
        <v>0</v>
      </c>
      <c r="Y398" s="61">
        <f>+'20'!E51</f>
        <v>0</v>
      </c>
      <c r="AB398" s="56"/>
      <c r="AC398" s="62"/>
    </row>
    <row r="399" spans="7:29">
      <c r="G399" s="13"/>
      <c r="H399" s="13"/>
      <c r="I399" s="13"/>
      <c r="J399" s="13"/>
      <c r="N399" s="13"/>
      <c r="O399" s="13"/>
      <c r="P399" s="13"/>
      <c r="Q399" s="13"/>
      <c r="T399" s="10">
        <f>+'20'!D1</f>
        <v>46162</v>
      </c>
      <c r="U399" s="56" t="str">
        <f>+'20'!A52</f>
        <v/>
      </c>
      <c r="V399" s="56">
        <f>+'20'!B52</f>
        <v>0</v>
      </c>
      <c r="W399" s="56">
        <f>+'20'!C52</f>
        <v>0</v>
      </c>
      <c r="X399" s="56">
        <f>+'20'!D52</f>
        <v>0</v>
      </c>
      <c r="Y399" s="61">
        <f>+'20'!E52</f>
        <v>0</v>
      </c>
      <c r="AB399" s="56"/>
      <c r="AC399" s="62"/>
    </row>
    <row r="400" spans="7:29">
      <c r="G400" s="13"/>
      <c r="H400" s="13"/>
      <c r="I400" s="13"/>
      <c r="J400" s="13"/>
      <c r="N400" s="13"/>
      <c r="O400" s="13"/>
      <c r="P400" s="13"/>
      <c r="Q400" s="13"/>
      <c r="T400" s="10">
        <f>+'20'!D1</f>
        <v>46162</v>
      </c>
      <c r="U400" s="56" t="str">
        <f>+'20'!A53</f>
        <v/>
      </c>
      <c r="V400" s="56">
        <f>+'20'!B53</f>
        <v>0</v>
      </c>
      <c r="W400" s="56">
        <f>+'20'!C53</f>
        <v>0</v>
      </c>
      <c r="X400" s="56">
        <f>+'20'!D53</f>
        <v>0</v>
      </c>
      <c r="Y400" s="61">
        <f>+'20'!E53</f>
        <v>0</v>
      </c>
      <c r="AB400" s="56"/>
      <c r="AC400" s="62"/>
    </row>
    <row r="401" spans="7:29">
      <c r="G401" s="13"/>
      <c r="H401" s="13"/>
      <c r="I401" s="13"/>
      <c r="J401" s="13"/>
      <c r="N401" s="13"/>
      <c r="O401" s="13"/>
      <c r="P401" s="13"/>
      <c r="Q401" s="13"/>
      <c r="T401" s="10">
        <f>+'20'!D1</f>
        <v>46162</v>
      </c>
      <c r="U401" s="56" t="str">
        <f>+'20'!A54</f>
        <v/>
      </c>
      <c r="V401" s="56">
        <f>+'20'!B54</f>
        <v>0</v>
      </c>
      <c r="W401" s="56">
        <f>+'20'!C54</f>
        <v>0</v>
      </c>
      <c r="X401" s="56">
        <f>+'20'!D54</f>
        <v>0</v>
      </c>
      <c r="Y401" s="61">
        <f>+'20'!E54</f>
        <v>0</v>
      </c>
      <c r="AB401" s="56"/>
      <c r="AC401" s="62"/>
    </row>
    <row r="402" spans="7:29">
      <c r="G402" s="13"/>
      <c r="H402" s="13"/>
      <c r="I402" s="13"/>
      <c r="J402" s="13"/>
      <c r="N402" s="13"/>
      <c r="O402" s="13"/>
      <c r="P402" s="13"/>
      <c r="Q402" s="13"/>
      <c r="T402" s="10">
        <f>+'20'!D1</f>
        <v>46162</v>
      </c>
      <c r="U402" s="56" t="str">
        <f>+'20'!A55</f>
        <v/>
      </c>
      <c r="V402" s="56">
        <f>+'20'!B55</f>
        <v>0</v>
      </c>
      <c r="W402" s="56">
        <f>+'20'!C55</f>
        <v>0</v>
      </c>
      <c r="X402" s="56">
        <f>+'20'!D55</f>
        <v>0</v>
      </c>
      <c r="Y402" s="61">
        <f>+'20'!E55</f>
        <v>0</v>
      </c>
      <c r="AB402" s="56"/>
      <c r="AC402" s="62"/>
    </row>
    <row r="403" spans="7:29">
      <c r="G403" s="13"/>
      <c r="H403" s="13"/>
      <c r="I403" s="13"/>
      <c r="J403" s="13"/>
      <c r="N403" s="13"/>
      <c r="O403" s="13"/>
      <c r="P403" s="13"/>
      <c r="Q403" s="13"/>
      <c r="T403" s="10">
        <f>+'21'!D1</f>
        <v>46163</v>
      </c>
      <c r="U403" s="56" t="str">
        <f>+'21'!A36</f>
        <v/>
      </c>
      <c r="V403" s="56">
        <f>+'21'!B36</f>
        <v>0</v>
      </c>
      <c r="W403" s="56">
        <f>+'21'!C36</f>
        <v>0</v>
      </c>
      <c r="X403" s="56">
        <f>+'21'!D36</f>
        <v>0</v>
      </c>
      <c r="Y403" s="61">
        <f>+'21'!E36</f>
        <v>0</v>
      </c>
      <c r="AB403" s="56"/>
      <c r="AC403" s="62"/>
    </row>
    <row r="404" spans="7:29">
      <c r="G404" s="13"/>
      <c r="H404" s="13"/>
      <c r="I404" s="13"/>
      <c r="J404" s="13"/>
      <c r="N404" s="13"/>
      <c r="O404" s="13"/>
      <c r="P404" s="13"/>
      <c r="Q404" s="13"/>
      <c r="T404" s="10">
        <f>+'21'!D1</f>
        <v>46163</v>
      </c>
      <c r="U404" s="56" t="str">
        <f>+'21'!A37</f>
        <v/>
      </c>
      <c r="V404" s="56">
        <f>+'21'!B37</f>
        <v>0</v>
      </c>
      <c r="W404" s="56">
        <f>+'21'!C37</f>
        <v>0</v>
      </c>
      <c r="X404" s="56">
        <f>+'21'!D37</f>
        <v>0</v>
      </c>
      <c r="Y404" s="61">
        <f>+'21'!E37</f>
        <v>0</v>
      </c>
      <c r="AB404" s="56"/>
      <c r="AC404" s="62"/>
    </row>
    <row r="405" spans="7:29">
      <c r="G405" s="13"/>
      <c r="H405" s="13"/>
      <c r="I405" s="13"/>
      <c r="J405" s="13"/>
      <c r="N405" s="13"/>
      <c r="O405" s="13"/>
      <c r="P405" s="13"/>
      <c r="Q405" s="13"/>
      <c r="T405" s="10">
        <f>+'21'!D1</f>
        <v>46163</v>
      </c>
      <c r="U405" s="56" t="str">
        <f>+'21'!A38</f>
        <v/>
      </c>
      <c r="V405" s="56">
        <f>+'21'!B38</f>
        <v>0</v>
      </c>
      <c r="W405" s="56">
        <f>+'21'!C38</f>
        <v>0</v>
      </c>
      <c r="X405" s="56">
        <f>+'21'!D38</f>
        <v>0</v>
      </c>
      <c r="Y405" s="61">
        <f>+'21'!E38</f>
        <v>0</v>
      </c>
      <c r="AB405" s="56"/>
      <c r="AC405" s="62"/>
    </row>
    <row r="406" spans="7:29">
      <c r="G406" s="13"/>
      <c r="H406" s="13"/>
      <c r="I406" s="13"/>
      <c r="J406" s="13"/>
      <c r="N406" s="13"/>
      <c r="O406" s="13"/>
      <c r="P406" s="13"/>
      <c r="Q406" s="13"/>
      <c r="T406" s="10">
        <f>+'21'!D1</f>
        <v>46163</v>
      </c>
      <c r="U406" s="56" t="str">
        <f>+'21'!A39</f>
        <v/>
      </c>
      <c r="V406" s="56">
        <f>+'21'!B39</f>
        <v>0</v>
      </c>
      <c r="W406" s="56">
        <f>+'21'!C39</f>
        <v>0</v>
      </c>
      <c r="X406" s="56">
        <f>+'21'!D39</f>
        <v>0</v>
      </c>
      <c r="Y406" s="61">
        <f>+'21'!E39</f>
        <v>0</v>
      </c>
      <c r="AB406" s="56"/>
      <c r="AC406" s="62"/>
    </row>
    <row r="407" spans="7:29">
      <c r="G407" s="13"/>
      <c r="H407" s="13"/>
      <c r="I407" s="13"/>
      <c r="J407" s="13"/>
      <c r="N407" s="13"/>
      <c r="O407" s="13"/>
      <c r="P407" s="13"/>
      <c r="Q407" s="13"/>
      <c r="T407" s="10">
        <f>+'21'!D1</f>
        <v>46163</v>
      </c>
      <c r="U407" s="56" t="str">
        <f>+'21'!A40</f>
        <v/>
      </c>
      <c r="V407" s="56">
        <f>+'21'!B40</f>
        <v>0</v>
      </c>
      <c r="W407" s="56">
        <f>+'21'!C40</f>
        <v>0</v>
      </c>
      <c r="X407" s="56">
        <f>+'21'!D40</f>
        <v>0</v>
      </c>
      <c r="Y407" s="61">
        <f>+'21'!E40</f>
        <v>0</v>
      </c>
      <c r="AB407" s="56"/>
      <c r="AC407" s="62"/>
    </row>
    <row r="408" spans="7:29">
      <c r="G408" s="13"/>
      <c r="H408" s="13"/>
      <c r="I408" s="13"/>
      <c r="J408" s="13"/>
      <c r="N408" s="13"/>
      <c r="O408" s="13"/>
      <c r="P408" s="13"/>
      <c r="Q408" s="13"/>
      <c r="T408" s="10">
        <f>+'21'!D1</f>
        <v>46163</v>
      </c>
      <c r="U408" s="56" t="str">
        <f>+'21'!A41</f>
        <v/>
      </c>
      <c r="V408" s="56">
        <f>+'21'!B41</f>
        <v>0</v>
      </c>
      <c r="W408" s="56">
        <f>+'21'!C41</f>
        <v>0</v>
      </c>
      <c r="X408" s="56">
        <f>+'21'!D41</f>
        <v>0</v>
      </c>
      <c r="Y408" s="61">
        <f>+'21'!E41</f>
        <v>0</v>
      </c>
      <c r="AB408" s="56"/>
      <c r="AC408" s="62"/>
    </row>
    <row r="409" spans="7:29">
      <c r="G409" s="13"/>
      <c r="H409" s="13"/>
      <c r="I409" s="13"/>
      <c r="J409" s="13"/>
      <c r="N409" s="13"/>
      <c r="O409" s="13"/>
      <c r="P409" s="13"/>
      <c r="Q409" s="13"/>
      <c r="T409" s="10">
        <f>+'21'!D1</f>
        <v>46163</v>
      </c>
      <c r="U409" s="56" t="str">
        <f>+'21'!A42</f>
        <v/>
      </c>
      <c r="V409" s="56">
        <f>+'21'!B42</f>
        <v>0</v>
      </c>
      <c r="W409" s="56">
        <f>+'21'!C42</f>
        <v>0</v>
      </c>
      <c r="X409" s="56">
        <f>+'21'!D42</f>
        <v>0</v>
      </c>
      <c r="Y409" s="61">
        <f>+'21'!E42</f>
        <v>0</v>
      </c>
      <c r="AB409" s="56"/>
      <c r="AC409" s="62"/>
    </row>
    <row r="410" spans="7:29">
      <c r="G410" s="13"/>
      <c r="H410" s="13"/>
      <c r="I410" s="13"/>
      <c r="J410" s="13"/>
      <c r="N410" s="13"/>
      <c r="O410" s="13"/>
      <c r="P410" s="13"/>
      <c r="Q410" s="13"/>
      <c r="T410" s="10">
        <f>+'21'!D1</f>
        <v>46163</v>
      </c>
      <c r="U410" s="56" t="str">
        <f>+'21'!A43</f>
        <v/>
      </c>
      <c r="V410" s="56">
        <f>+'21'!B43</f>
        <v>0</v>
      </c>
      <c r="W410" s="56">
        <f>+'21'!C43</f>
        <v>0</v>
      </c>
      <c r="X410" s="56">
        <f>+'21'!D43</f>
        <v>0</v>
      </c>
      <c r="Y410" s="61">
        <f>+'21'!E43</f>
        <v>0</v>
      </c>
      <c r="AB410" s="56"/>
      <c r="AC410" s="62"/>
    </row>
    <row r="411" spans="7:29">
      <c r="G411" s="13"/>
      <c r="H411" s="13"/>
      <c r="I411" s="13"/>
      <c r="J411" s="13"/>
      <c r="N411" s="13"/>
      <c r="O411" s="13"/>
      <c r="P411" s="13"/>
      <c r="Q411" s="13"/>
      <c r="T411" s="10">
        <f>+'21'!D1</f>
        <v>46163</v>
      </c>
      <c r="U411" s="56" t="str">
        <f>+'21'!A44</f>
        <v/>
      </c>
      <c r="V411" s="56">
        <f>+'21'!B44</f>
        <v>0</v>
      </c>
      <c r="W411" s="56">
        <f>+'21'!C44</f>
        <v>0</v>
      </c>
      <c r="X411" s="56">
        <f>+'21'!D44</f>
        <v>0</v>
      </c>
      <c r="Y411" s="61">
        <f>+'21'!E44</f>
        <v>0</v>
      </c>
      <c r="AB411" s="56"/>
      <c r="AC411" s="62"/>
    </row>
    <row r="412" spans="7:29">
      <c r="G412" s="13"/>
      <c r="H412" s="13"/>
      <c r="I412" s="13"/>
      <c r="J412" s="13"/>
      <c r="N412" s="13"/>
      <c r="O412" s="13"/>
      <c r="P412" s="13"/>
      <c r="Q412" s="13"/>
      <c r="T412" s="10">
        <f>+'21'!D1</f>
        <v>46163</v>
      </c>
      <c r="U412" s="56" t="str">
        <f>+'21'!A45</f>
        <v/>
      </c>
      <c r="V412" s="56">
        <f>+'21'!B45</f>
        <v>0</v>
      </c>
      <c r="W412" s="56">
        <f>+'21'!C45</f>
        <v>0</v>
      </c>
      <c r="X412" s="56">
        <f>+'21'!D45</f>
        <v>0</v>
      </c>
      <c r="Y412" s="61">
        <f>+'21'!E45</f>
        <v>0</v>
      </c>
      <c r="AB412" s="56"/>
      <c r="AC412" s="62"/>
    </row>
    <row r="413" spans="7:29">
      <c r="G413" s="13"/>
      <c r="H413" s="13"/>
      <c r="I413" s="13"/>
      <c r="J413" s="13"/>
      <c r="N413" s="13"/>
      <c r="O413" s="13"/>
      <c r="P413" s="13"/>
      <c r="Q413" s="13"/>
      <c r="T413" s="10">
        <f>+'21'!D1</f>
        <v>46163</v>
      </c>
      <c r="U413" s="56" t="str">
        <f>+'21'!A46</f>
        <v/>
      </c>
      <c r="V413" s="56">
        <f>+'21'!B46</f>
        <v>0</v>
      </c>
      <c r="W413" s="56">
        <f>+'21'!C46</f>
        <v>0</v>
      </c>
      <c r="X413" s="56">
        <f>+'21'!D46</f>
        <v>0</v>
      </c>
      <c r="Y413" s="61">
        <f>+'21'!E46</f>
        <v>0</v>
      </c>
      <c r="AB413" s="56"/>
      <c r="AC413" s="62"/>
    </row>
    <row r="414" spans="7:29">
      <c r="G414" s="13"/>
      <c r="H414" s="13"/>
      <c r="I414" s="13"/>
      <c r="J414" s="13"/>
      <c r="N414" s="13"/>
      <c r="O414" s="13"/>
      <c r="P414" s="13"/>
      <c r="Q414" s="13"/>
      <c r="T414" s="10">
        <f>+'21'!D1</f>
        <v>46163</v>
      </c>
      <c r="U414" s="56" t="str">
        <f>+'21'!A47</f>
        <v/>
      </c>
      <c r="V414" s="56">
        <f>+'21'!B47</f>
        <v>0</v>
      </c>
      <c r="W414" s="56">
        <f>+'21'!C47</f>
        <v>0</v>
      </c>
      <c r="X414" s="56">
        <f>+'21'!D47</f>
        <v>0</v>
      </c>
      <c r="Y414" s="61">
        <f>+'21'!E47</f>
        <v>0</v>
      </c>
      <c r="AB414" s="56"/>
      <c r="AC414" s="62"/>
    </row>
    <row r="415" spans="7:29">
      <c r="G415" s="13"/>
      <c r="H415" s="13"/>
      <c r="I415" s="13"/>
      <c r="J415" s="13"/>
      <c r="N415" s="13"/>
      <c r="O415" s="13"/>
      <c r="P415" s="13"/>
      <c r="Q415" s="13"/>
      <c r="T415" s="10">
        <f>+'21'!D1</f>
        <v>46163</v>
      </c>
      <c r="U415" s="56" t="str">
        <f>+'21'!A48</f>
        <v/>
      </c>
      <c r="V415" s="56">
        <f>+'21'!B48</f>
        <v>0</v>
      </c>
      <c r="W415" s="56">
        <f>+'21'!C48</f>
        <v>0</v>
      </c>
      <c r="X415" s="56">
        <f>+'21'!D48</f>
        <v>0</v>
      </c>
      <c r="Y415" s="61">
        <f>+'21'!E48</f>
        <v>0</v>
      </c>
      <c r="AB415" s="56"/>
      <c r="AC415" s="62"/>
    </row>
    <row r="416" spans="7:29">
      <c r="G416" s="13"/>
      <c r="H416" s="13"/>
      <c r="I416" s="13"/>
      <c r="J416" s="13"/>
      <c r="N416" s="13"/>
      <c r="O416" s="13"/>
      <c r="P416" s="13"/>
      <c r="Q416" s="13"/>
      <c r="T416" s="10">
        <f>+'21'!D1</f>
        <v>46163</v>
      </c>
      <c r="U416" s="56" t="str">
        <f>+'21'!A49</f>
        <v/>
      </c>
      <c r="V416" s="56">
        <f>+'21'!B49</f>
        <v>0</v>
      </c>
      <c r="W416" s="56">
        <f>+'21'!C49</f>
        <v>0</v>
      </c>
      <c r="X416" s="56">
        <f>+'21'!D49</f>
        <v>0</v>
      </c>
      <c r="Y416" s="61">
        <f>+'21'!E49</f>
        <v>0</v>
      </c>
      <c r="AB416" s="56"/>
      <c r="AC416" s="62"/>
    </row>
    <row r="417" spans="7:29">
      <c r="G417" s="13"/>
      <c r="H417" s="13"/>
      <c r="I417" s="13"/>
      <c r="J417" s="13"/>
      <c r="N417" s="13"/>
      <c r="O417" s="13"/>
      <c r="P417" s="13"/>
      <c r="Q417" s="13"/>
      <c r="T417" s="10">
        <f>+'21'!D1</f>
        <v>46163</v>
      </c>
      <c r="U417" s="56" t="str">
        <f>+'21'!A50</f>
        <v/>
      </c>
      <c r="V417" s="56">
        <f>+'21'!B50</f>
        <v>0</v>
      </c>
      <c r="W417" s="56">
        <f>+'21'!C50</f>
        <v>0</v>
      </c>
      <c r="X417" s="56">
        <f>+'21'!D50</f>
        <v>0</v>
      </c>
      <c r="Y417" s="61">
        <f>+'21'!E50</f>
        <v>0</v>
      </c>
      <c r="AB417" s="56"/>
      <c r="AC417" s="62"/>
    </row>
    <row r="418" spans="7:29">
      <c r="G418" s="13"/>
      <c r="H418" s="13"/>
      <c r="I418" s="13"/>
      <c r="J418" s="13"/>
      <c r="N418" s="13"/>
      <c r="O418" s="13"/>
      <c r="P418" s="13"/>
      <c r="Q418" s="13"/>
      <c r="T418" s="10">
        <f>+'21'!D1</f>
        <v>46163</v>
      </c>
      <c r="U418" s="56" t="str">
        <f>+'21'!A51</f>
        <v/>
      </c>
      <c r="V418" s="56">
        <f>+'21'!B51</f>
        <v>0</v>
      </c>
      <c r="W418" s="56">
        <f>+'21'!C51</f>
        <v>0</v>
      </c>
      <c r="X418" s="56">
        <f>+'21'!D51</f>
        <v>0</v>
      </c>
      <c r="Y418" s="61">
        <f>+'21'!E51</f>
        <v>0</v>
      </c>
      <c r="AB418" s="56"/>
      <c r="AC418" s="62"/>
    </row>
    <row r="419" spans="7:29">
      <c r="G419" s="13"/>
      <c r="H419" s="13"/>
      <c r="I419" s="13"/>
      <c r="J419" s="13"/>
      <c r="N419" s="13"/>
      <c r="O419" s="13"/>
      <c r="P419" s="13"/>
      <c r="Q419" s="13"/>
      <c r="T419" s="10">
        <f>+'21'!D1</f>
        <v>46163</v>
      </c>
      <c r="U419" s="56" t="str">
        <f>+'21'!A52</f>
        <v/>
      </c>
      <c r="V419" s="56">
        <f>+'21'!B52</f>
        <v>0</v>
      </c>
      <c r="W419" s="56">
        <f>+'21'!C52</f>
        <v>0</v>
      </c>
      <c r="X419" s="56">
        <f>+'21'!D52</f>
        <v>0</v>
      </c>
      <c r="Y419" s="61">
        <f>+'21'!E52</f>
        <v>0</v>
      </c>
      <c r="AB419" s="56"/>
      <c r="AC419" s="62"/>
    </row>
    <row r="420" spans="7:29">
      <c r="G420" s="13"/>
      <c r="H420" s="13"/>
      <c r="I420" s="13"/>
      <c r="J420" s="13"/>
      <c r="N420" s="13"/>
      <c r="O420" s="13"/>
      <c r="P420" s="13"/>
      <c r="Q420" s="13"/>
      <c r="T420" s="10">
        <f>+'21'!D1</f>
        <v>46163</v>
      </c>
      <c r="U420" s="56" t="str">
        <f>+'21'!A53</f>
        <v/>
      </c>
      <c r="V420" s="56">
        <f>+'21'!B53</f>
        <v>0</v>
      </c>
      <c r="W420" s="56">
        <f>+'21'!C53</f>
        <v>0</v>
      </c>
      <c r="X420" s="56">
        <f>+'21'!D53</f>
        <v>0</v>
      </c>
      <c r="Y420" s="61">
        <f>+'21'!E53</f>
        <v>0</v>
      </c>
      <c r="AB420" s="56"/>
      <c r="AC420" s="62"/>
    </row>
    <row r="421" spans="7:29">
      <c r="G421" s="13"/>
      <c r="H421" s="13"/>
      <c r="I421" s="13"/>
      <c r="J421" s="13"/>
      <c r="N421" s="13"/>
      <c r="O421" s="13"/>
      <c r="P421" s="13"/>
      <c r="Q421" s="13"/>
      <c r="T421" s="10">
        <f>+'21'!D1</f>
        <v>46163</v>
      </c>
      <c r="U421" s="56" t="str">
        <f>+'21'!A54</f>
        <v/>
      </c>
      <c r="V421" s="56">
        <f>+'21'!B54</f>
        <v>0</v>
      </c>
      <c r="W421" s="56">
        <f>+'21'!C54</f>
        <v>0</v>
      </c>
      <c r="X421" s="56">
        <f>+'21'!D54</f>
        <v>0</v>
      </c>
      <c r="Y421" s="61">
        <f>+'21'!E54</f>
        <v>0</v>
      </c>
      <c r="AB421" s="56"/>
      <c r="AC421" s="62"/>
    </row>
    <row r="422" spans="7:29">
      <c r="G422" s="13"/>
      <c r="H422" s="13"/>
      <c r="I422" s="13"/>
      <c r="J422" s="13"/>
      <c r="N422" s="13"/>
      <c r="O422" s="13"/>
      <c r="P422" s="13"/>
      <c r="Q422" s="13"/>
      <c r="T422" s="10">
        <f>+'21'!D1</f>
        <v>46163</v>
      </c>
      <c r="U422" s="56" t="str">
        <f>+'21'!A55</f>
        <v/>
      </c>
      <c r="V422" s="56">
        <f>+'21'!B55</f>
        <v>0</v>
      </c>
      <c r="W422" s="56">
        <f>+'21'!C55</f>
        <v>0</v>
      </c>
      <c r="X422" s="56">
        <f>+'21'!D55</f>
        <v>0</v>
      </c>
      <c r="Y422" s="61">
        <f>+'21'!E55</f>
        <v>0</v>
      </c>
      <c r="AB422" s="56"/>
      <c r="AC422" s="62"/>
    </row>
    <row r="423" spans="7:29">
      <c r="G423" s="13"/>
      <c r="H423" s="13"/>
      <c r="I423" s="13"/>
      <c r="J423" s="13"/>
      <c r="N423" s="13"/>
      <c r="O423" s="13"/>
      <c r="P423" s="13"/>
      <c r="Q423" s="13"/>
      <c r="T423" s="10">
        <f>+'22'!D1</f>
        <v>46164</v>
      </c>
      <c r="U423" s="56" t="str">
        <f>+'22'!A36</f>
        <v/>
      </c>
      <c r="V423" s="56">
        <f>+'22'!B36</f>
        <v>0</v>
      </c>
      <c r="W423" s="56">
        <f>+'22'!C36</f>
        <v>0</v>
      </c>
      <c r="X423" s="56">
        <f>+'22'!D36</f>
        <v>0</v>
      </c>
      <c r="Y423" s="61">
        <f>+'22'!E36</f>
        <v>0</v>
      </c>
      <c r="AB423" s="56"/>
      <c r="AC423" s="62"/>
    </row>
    <row r="424" spans="7:29">
      <c r="G424" s="13"/>
      <c r="H424" s="13"/>
      <c r="I424" s="13"/>
      <c r="J424" s="13"/>
      <c r="N424" s="13"/>
      <c r="O424" s="13"/>
      <c r="P424" s="13"/>
      <c r="Q424" s="13"/>
      <c r="T424" s="10">
        <f>+'22'!D1</f>
        <v>46164</v>
      </c>
      <c r="U424" s="56" t="str">
        <f>+'22'!A37</f>
        <v/>
      </c>
      <c r="V424" s="56">
        <f>+'22'!B37</f>
        <v>0</v>
      </c>
      <c r="W424" s="56">
        <f>+'22'!C37</f>
        <v>0</v>
      </c>
      <c r="X424" s="56">
        <f>+'22'!D37</f>
        <v>0</v>
      </c>
      <c r="Y424" s="61">
        <f>+'22'!E37</f>
        <v>0</v>
      </c>
      <c r="AB424" s="56"/>
      <c r="AC424" s="62"/>
    </row>
    <row r="425" spans="7:29">
      <c r="G425" s="13"/>
      <c r="H425" s="13"/>
      <c r="I425" s="13"/>
      <c r="J425" s="13"/>
      <c r="N425" s="13"/>
      <c r="O425" s="13"/>
      <c r="P425" s="13"/>
      <c r="Q425" s="13"/>
      <c r="T425" s="10">
        <f>+'22'!D1</f>
        <v>46164</v>
      </c>
      <c r="U425" s="56" t="str">
        <f>+'22'!A38</f>
        <v/>
      </c>
      <c r="V425" s="56">
        <f>+'22'!B38</f>
        <v>0</v>
      </c>
      <c r="W425" s="56">
        <f>+'22'!C38</f>
        <v>0</v>
      </c>
      <c r="X425" s="56">
        <f>+'22'!D38</f>
        <v>0</v>
      </c>
      <c r="Y425" s="61">
        <f>+'22'!E38</f>
        <v>0</v>
      </c>
      <c r="AB425" s="56"/>
      <c r="AC425" s="62"/>
    </row>
    <row r="426" spans="7:29">
      <c r="G426" s="13"/>
      <c r="H426" s="13"/>
      <c r="I426" s="13"/>
      <c r="J426" s="13"/>
      <c r="N426" s="13"/>
      <c r="O426" s="13"/>
      <c r="P426" s="13"/>
      <c r="Q426" s="13"/>
      <c r="T426" s="10">
        <f>+'22'!D1</f>
        <v>46164</v>
      </c>
      <c r="U426" s="56" t="str">
        <f>+'22'!A39</f>
        <v/>
      </c>
      <c r="V426" s="56">
        <f>+'22'!B39</f>
        <v>0</v>
      </c>
      <c r="W426" s="56">
        <f>+'22'!C39</f>
        <v>0</v>
      </c>
      <c r="X426" s="56">
        <f>+'22'!D39</f>
        <v>0</v>
      </c>
      <c r="Y426" s="61">
        <f>+'22'!E39</f>
        <v>0</v>
      </c>
      <c r="AB426" s="56"/>
      <c r="AC426" s="62"/>
    </row>
    <row r="427" spans="7:29">
      <c r="G427" s="13"/>
      <c r="H427" s="13"/>
      <c r="I427" s="13"/>
      <c r="J427" s="13"/>
      <c r="N427" s="13"/>
      <c r="O427" s="13"/>
      <c r="P427" s="13"/>
      <c r="Q427" s="13"/>
      <c r="T427" s="10">
        <f>+'22'!D1</f>
        <v>46164</v>
      </c>
      <c r="U427" s="56" t="str">
        <f>+'22'!A40</f>
        <v/>
      </c>
      <c r="V427" s="56">
        <f>+'22'!B40</f>
        <v>0</v>
      </c>
      <c r="W427" s="56">
        <f>+'22'!C40</f>
        <v>0</v>
      </c>
      <c r="X427" s="56">
        <f>+'22'!D40</f>
        <v>0</v>
      </c>
      <c r="Y427" s="61">
        <f>+'22'!E40</f>
        <v>0</v>
      </c>
      <c r="AB427" s="56"/>
      <c r="AC427" s="62"/>
    </row>
    <row r="428" spans="7:29">
      <c r="G428" s="13"/>
      <c r="H428" s="13"/>
      <c r="I428" s="13"/>
      <c r="J428" s="13"/>
      <c r="N428" s="13"/>
      <c r="O428" s="13"/>
      <c r="P428" s="13"/>
      <c r="Q428" s="13"/>
      <c r="T428" s="10">
        <f>+'22'!D1</f>
        <v>46164</v>
      </c>
      <c r="U428" s="56" t="str">
        <f>+'22'!A41</f>
        <v/>
      </c>
      <c r="V428" s="56">
        <f>+'22'!B41</f>
        <v>0</v>
      </c>
      <c r="W428" s="56">
        <f>+'22'!C41</f>
        <v>0</v>
      </c>
      <c r="X428" s="56">
        <f>+'22'!D41</f>
        <v>0</v>
      </c>
      <c r="Y428" s="61">
        <f>+'22'!E41</f>
        <v>0</v>
      </c>
      <c r="AB428" s="56"/>
      <c r="AC428" s="62"/>
    </row>
    <row r="429" spans="7:29">
      <c r="G429" s="13"/>
      <c r="H429" s="13"/>
      <c r="I429" s="13"/>
      <c r="J429" s="13"/>
      <c r="N429" s="13"/>
      <c r="O429" s="13"/>
      <c r="P429" s="13"/>
      <c r="Q429" s="13"/>
      <c r="T429" s="10">
        <f>+'22'!D1</f>
        <v>46164</v>
      </c>
      <c r="U429" s="56" t="str">
        <f>+'22'!A42</f>
        <v/>
      </c>
      <c r="V429" s="56">
        <f>+'22'!B42</f>
        <v>0</v>
      </c>
      <c r="W429" s="56">
        <f>+'22'!C42</f>
        <v>0</v>
      </c>
      <c r="X429" s="56">
        <f>+'22'!D42</f>
        <v>0</v>
      </c>
      <c r="Y429" s="61">
        <f>+'22'!E42</f>
        <v>0</v>
      </c>
      <c r="AB429" s="56"/>
      <c r="AC429" s="62"/>
    </row>
    <row r="430" spans="7:29">
      <c r="G430" s="13"/>
      <c r="H430" s="13"/>
      <c r="I430" s="13"/>
      <c r="J430" s="13"/>
      <c r="N430" s="13"/>
      <c r="O430" s="13"/>
      <c r="P430" s="13"/>
      <c r="Q430" s="13"/>
      <c r="T430" s="10">
        <f>+'22'!D1</f>
        <v>46164</v>
      </c>
      <c r="U430" s="56" t="str">
        <f>+'22'!A43</f>
        <v/>
      </c>
      <c r="V430" s="56">
        <f>+'22'!B43</f>
        <v>0</v>
      </c>
      <c r="W430" s="56">
        <f>+'22'!C43</f>
        <v>0</v>
      </c>
      <c r="X430" s="56">
        <f>+'22'!D43</f>
        <v>0</v>
      </c>
      <c r="Y430" s="61">
        <f>+'22'!E43</f>
        <v>0</v>
      </c>
      <c r="AB430" s="56"/>
      <c r="AC430" s="62"/>
    </row>
    <row r="431" spans="7:29">
      <c r="G431" s="13"/>
      <c r="H431" s="13"/>
      <c r="I431" s="13"/>
      <c r="J431" s="13"/>
      <c r="N431" s="13"/>
      <c r="O431" s="13"/>
      <c r="P431" s="13"/>
      <c r="Q431" s="13"/>
      <c r="T431" s="10">
        <f>+'22'!D1</f>
        <v>46164</v>
      </c>
      <c r="U431" s="56" t="str">
        <f>+'22'!A44</f>
        <v/>
      </c>
      <c r="V431" s="56">
        <f>+'22'!B44</f>
        <v>0</v>
      </c>
      <c r="W431" s="56">
        <f>+'22'!C44</f>
        <v>0</v>
      </c>
      <c r="X431" s="56">
        <f>+'22'!D44</f>
        <v>0</v>
      </c>
      <c r="Y431" s="61">
        <f>+'22'!E44</f>
        <v>0</v>
      </c>
      <c r="AB431" s="56"/>
      <c r="AC431" s="62"/>
    </row>
    <row r="432" spans="7:29">
      <c r="G432" s="13"/>
      <c r="H432" s="13"/>
      <c r="I432" s="13"/>
      <c r="J432" s="13"/>
      <c r="N432" s="13"/>
      <c r="O432" s="13"/>
      <c r="P432" s="13"/>
      <c r="Q432" s="13"/>
      <c r="T432" s="10">
        <f>+'22'!D1</f>
        <v>46164</v>
      </c>
      <c r="U432" s="56" t="str">
        <f>+'22'!A45</f>
        <v/>
      </c>
      <c r="V432" s="56">
        <f>+'22'!B45</f>
        <v>0</v>
      </c>
      <c r="W432" s="56">
        <f>+'22'!C45</f>
        <v>0</v>
      </c>
      <c r="X432" s="56">
        <f>+'22'!D45</f>
        <v>0</v>
      </c>
      <c r="Y432" s="61">
        <f>+'22'!E45</f>
        <v>0</v>
      </c>
      <c r="AB432" s="56"/>
      <c r="AC432" s="62"/>
    </row>
    <row r="433" spans="7:29">
      <c r="G433" s="13"/>
      <c r="H433" s="13"/>
      <c r="I433" s="13"/>
      <c r="J433" s="13"/>
      <c r="N433" s="13"/>
      <c r="O433" s="13"/>
      <c r="P433" s="13"/>
      <c r="Q433" s="13"/>
      <c r="T433" s="10">
        <f>+'22'!D1</f>
        <v>46164</v>
      </c>
      <c r="U433" s="56" t="str">
        <f>+'22'!A46</f>
        <v/>
      </c>
      <c r="V433" s="56">
        <f>+'22'!B46</f>
        <v>0</v>
      </c>
      <c r="W433" s="56">
        <f>+'22'!C46</f>
        <v>0</v>
      </c>
      <c r="X433" s="56">
        <f>+'22'!D46</f>
        <v>0</v>
      </c>
      <c r="Y433" s="61">
        <f>+'22'!E46</f>
        <v>0</v>
      </c>
      <c r="AB433" s="56"/>
      <c r="AC433" s="62"/>
    </row>
    <row r="434" spans="7:29">
      <c r="G434" s="13"/>
      <c r="H434" s="13"/>
      <c r="I434" s="13"/>
      <c r="J434" s="13"/>
      <c r="N434" s="13"/>
      <c r="O434" s="13"/>
      <c r="P434" s="13"/>
      <c r="Q434" s="13"/>
      <c r="T434" s="10">
        <f>+'22'!D1</f>
        <v>46164</v>
      </c>
      <c r="U434" s="56" t="str">
        <f>+'22'!A47</f>
        <v/>
      </c>
      <c r="V434" s="56">
        <f>+'22'!B47</f>
        <v>0</v>
      </c>
      <c r="W434" s="56">
        <f>+'22'!C47</f>
        <v>0</v>
      </c>
      <c r="X434" s="56">
        <f>+'22'!D47</f>
        <v>0</v>
      </c>
      <c r="Y434" s="61">
        <f>+'22'!E47</f>
        <v>0</v>
      </c>
      <c r="AB434" s="56"/>
      <c r="AC434" s="62"/>
    </row>
    <row r="435" spans="7:29">
      <c r="G435" s="13"/>
      <c r="H435" s="13"/>
      <c r="I435" s="13"/>
      <c r="J435" s="13"/>
      <c r="N435" s="13"/>
      <c r="O435" s="13"/>
      <c r="P435" s="13"/>
      <c r="Q435" s="13"/>
      <c r="T435" s="10">
        <f>+'22'!D1</f>
        <v>46164</v>
      </c>
      <c r="U435" s="56" t="str">
        <f>+'22'!A48</f>
        <v/>
      </c>
      <c r="V435" s="56">
        <f>+'22'!B48</f>
        <v>0</v>
      </c>
      <c r="W435" s="56">
        <f>+'22'!C48</f>
        <v>0</v>
      </c>
      <c r="X435" s="56">
        <f>+'22'!D48</f>
        <v>0</v>
      </c>
      <c r="Y435" s="61">
        <f>+'22'!E48</f>
        <v>0</v>
      </c>
      <c r="AB435" s="56"/>
      <c r="AC435" s="62"/>
    </row>
    <row r="436" spans="7:29">
      <c r="G436" s="13"/>
      <c r="H436" s="13"/>
      <c r="I436" s="13"/>
      <c r="J436" s="13"/>
      <c r="N436" s="13"/>
      <c r="O436" s="13"/>
      <c r="P436" s="13"/>
      <c r="Q436" s="13"/>
      <c r="T436" s="10">
        <f>+'22'!D1</f>
        <v>46164</v>
      </c>
      <c r="U436" s="56" t="str">
        <f>+'22'!A49</f>
        <v/>
      </c>
      <c r="V436" s="56">
        <f>+'22'!B49</f>
        <v>0</v>
      </c>
      <c r="W436" s="56">
        <f>+'22'!C49</f>
        <v>0</v>
      </c>
      <c r="X436" s="56">
        <f>+'22'!D49</f>
        <v>0</v>
      </c>
      <c r="Y436" s="61">
        <f>+'22'!E49</f>
        <v>0</v>
      </c>
      <c r="AB436" s="56"/>
      <c r="AC436" s="62"/>
    </row>
    <row r="437" spans="7:29">
      <c r="G437" s="13"/>
      <c r="H437" s="13"/>
      <c r="I437" s="13"/>
      <c r="J437" s="13"/>
      <c r="N437" s="13"/>
      <c r="O437" s="13"/>
      <c r="P437" s="13"/>
      <c r="Q437" s="13"/>
      <c r="T437" s="10">
        <f>+'22'!D1</f>
        <v>46164</v>
      </c>
      <c r="U437" s="56" t="str">
        <f>+'22'!A50</f>
        <v/>
      </c>
      <c r="V437" s="56">
        <f>+'22'!B50</f>
        <v>0</v>
      </c>
      <c r="W437" s="56">
        <f>+'22'!C50</f>
        <v>0</v>
      </c>
      <c r="X437" s="56">
        <f>+'22'!D50</f>
        <v>0</v>
      </c>
      <c r="Y437" s="61">
        <f>+'22'!E50</f>
        <v>0</v>
      </c>
      <c r="AB437" s="56"/>
      <c r="AC437" s="62"/>
    </row>
    <row r="438" spans="7:29">
      <c r="G438" s="13"/>
      <c r="H438" s="13"/>
      <c r="I438" s="13"/>
      <c r="J438" s="13"/>
      <c r="N438" s="13"/>
      <c r="O438" s="13"/>
      <c r="P438" s="13"/>
      <c r="Q438" s="13"/>
      <c r="T438" s="10">
        <f>+'22'!D1</f>
        <v>46164</v>
      </c>
      <c r="U438" s="56" t="str">
        <f>+'22'!A51</f>
        <v/>
      </c>
      <c r="V438" s="56">
        <f>+'22'!B51</f>
        <v>0</v>
      </c>
      <c r="W438" s="56">
        <f>+'22'!C51</f>
        <v>0</v>
      </c>
      <c r="X438" s="56">
        <f>+'22'!D51</f>
        <v>0</v>
      </c>
      <c r="Y438" s="61">
        <f>+'22'!E51</f>
        <v>0</v>
      </c>
      <c r="AB438" s="56"/>
      <c r="AC438" s="62"/>
    </row>
    <row r="439" spans="7:29">
      <c r="G439" s="13"/>
      <c r="H439" s="13"/>
      <c r="I439" s="13"/>
      <c r="J439" s="13"/>
      <c r="N439" s="13"/>
      <c r="O439" s="13"/>
      <c r="P439" s="13"/>
      <c r="Q439" s="13"/>
      <c r="T439" s="10">
        <f>+'22'!D1</f>
        <v>46164</v>
      </c>
      <c r="U439" s="56" t="str">
        <f>+'22'!A52</f>
        <v/>
      </c>
      <c r="V439" s="56">
        <f>+'22'!B52</f>
        <v>0</v>
      </c>
      <c r="W439" s="56">
        <f>+'22'!C52</f>
        <v>0</v>
      </c>
      <c r="X439" s="56">
        <f>+'22'!D52</f>
        <v>0</v>
      </c>
      <c r="Y439" s="61">
        <f>+'22'!E52</f>
        <v>0</v>
      </c>
      <c r="AB439" s="56"/>
      <c r="AC439" s="62"/>
    </row>
    <row r="440" spans="7:29">
      <c r="G440" s="13"/>
      <c r="H440" s="13"/>
      <c r="I440" s="13"/>
      <c r="J440" s="13"/>
      <c r="N440" s="13"/>
      <c r="O440" s="13"/>
      <c r="P440" s="13"/>
      <c r="Q440" s="13"/>
      <c r="T440" s="10">
        <f>+'22'!D1</f>
        <v>46164</v>
      </c>
      <c r="U440" s="56" t="str">
        <f>+'22'!A53</f>
        <v/>
      </c>
      <c r="V440" s="56">
        <f>+'22'!B53</f>
        <v>0</v>
      </c>
      <c r="W440" s="56">
        <f>+'22'!C53</f>
        <v>0</v>
      </c>
      <c r="X440" s="56">
        <f>+'22'!D53</f>
        <v>0</v>
      </c>
      <c r="Y440" s="61">
        <f>+'22'!E53</f>
        <v>0</v>
      </c>
      <c r="AB440" s="56"/>
      <c r="AC440" s="62"/>
    </row>
    <row r="441" spans="7:29">
      <c r="G441" s="13"/>
      <c r="H441" s="13"/>
      <c r="I441" s="13"/>
      <c r="J441" s="13"/>
      <c r="N441" s="13"/>
      <c r="O441" s="13"/>
      <c r="P441" s="13"/>
      <c r="Q441" s="13"/>
      <c r="T441" s="10">
        <f>+'22'!D1</f>
        <v>46164</v>
      </c>
      <c r="U441" s="56" t="str">
        <f>+'22'!A54</f>
        <v/>
      </c>
      <c r="V441" s="56">
        <f>+'22'!B54</f>
        <v>0</v>
      </c>
      <c r="W441" s="56">
        <f>+'22'!C54</f>
        <v>0</v>
      </c>
      <c r="X441" s="56">
        <f>+'22'!D54</f>
        <v>0</v>
      </c>
      <c r="Y441" s="61">
        <f>+'22'!E54</f>
        <v>0</v>
      </c>
      <c r="AB441" s="56"/>
      <c r="AC441" s="62"/>
    </row>
    <row r="442" spans="7:29">
      <c r="G442" s="13"/>
      <c r="H442" s="13"/>
      <c r="I442" s="13"/>
      <c r="J442" s="13"/>
      <c r="N442" s="13"/>
      <c r="O442" s="13"/>
      <c r="P442" s="13"/>
      <c r="Q442" s="13"/>
      <c r="T442" s="10">
        <f>+'22'!D1</f>
        <v>46164</v>
      </c>
      <c r="U442" s="56" t="str">
        <f>+'22'!A55</f>
        <v/>
      </c>
      <c r="V442" s="56">
        <f>+'22'!B55</f>
        <v>0</v>
      </c>
      <c r="W442" s="56">
        <f>+'22'!C55</f>
        <v>0</v>
      </c>
      <c r="X442" s="56">
        <f>+'22'!D55</f>
        <v>0</v>
      </c>
      <c r="Y442" s="61">
        <f>+'22'!E55</f>
        <v>0</v>
      </c>
      <c r="AB442" s="56"/>
      <c r="AC442" s="62"/>
    </row>
    <row r="443" spans="7:29">
      <c r="G443" s="13"/>
      <c r="H443" s="13"/>
      <c r="I443" s="13"/>
      <c r="J443" s="13"/>
      <c r="N443" s="13"/>
      <c r="O443" s="13"/>
      <c r="P443" s="13"/>
      <c r="Q443" s="13"/>
      <c r="T443" s="10">
        <f>+'23'!D1</f>
        <v>46165</v>
      </c>
      <c r="U443" s="56" t="str">
        <f>+'23'!A36</f>
        <v/>
      </c>
      <c r="V443" s="56">
        <f>+'23'!B36</f>
        <v>0</v>
      </c>
      <c r="W443" s="56">
        <f>+'23'!C36</f>
        <v>0</v>
      </c>
      <c r="X443" s="56">
        <f>+'23'!D36</f>
        <v>0</v>
      </c>
      <c r="Y443" s="61">
        <f>+'23'!E36</f>
        <v>0</v>
      </c>
      <c r="AB443" s="56"/>
      <c r="AC443" s="62"/>
    </row>
    <row r="444" spans="7:29">
      <c r="G444" s="13"/>
      <c r="H444" s="13"/>
      <c r="I444" s="13"/>
      <c r="J444" s="13"/>
      <c r="N444" s="13"/>
      <c r="O444" s="13"/>
      <c r="P444" s="13"/>
      <c r="Q444" s="13"/>
      <c r="T444" s="10">
        <f>+'23'!D1</f>
        <v>46165</v>
      </c>
      <c r="U444" s="56" t="str">
        <f>+'23'!A37</f>
        <v/>
      </c>
      <c r="V444" s="56">
        <f>+'23'!B37</f>
        <v>0</v>
      </c>
      <c r="W444" s="56">
        <f>+'23'!C37</f>
        <v>0</v>
      </c>
      <c r="X444" s="56">
        <f>+'23'!D37</f>
        <v>0</v>
      </c>
      <c r="Y444" s="61">
        <f>+'23'!E37</f>
        <v>0</v>
      </c>
      <c r="AB444" s="56"/>
      <c r="AC444" s="62"/>
    </row>
    <row r="445" spans="7:29">
      <c r="G445" s="13"/>
      <c r="H445" s="13"/>
      <c r="I445" s="13"/>
      <c r="J445" s="13"/>
      <c r="N445" s="13"/>
      <c r="O445" s="13"/>
      <c r="P445" s="13"/>
      <c r="Q445" s="13"/>
      <c r="T445" s="10">
        <f>+'23'!D1</f>
        <v>46165</v>
      </c>
      <c r="U445" s="56" t="str">
        <f>+'23'!A38</f>
        <v/>
      </c>
      <c r="V445" s="56">
        <f>+'23'!B38</f>
        <v>0</v>
      </c>
      <c r="W445" s="56">
        <f>+'23'!C38</f>
        <v>0</v>
      </c>
      <c r="X445" s="56">
        <f>+'23'!D38</f>
        <v>0</v>
      </c>
      <c r="Y445" s="61">
        <f>+'23'!E38</f>
        <v>0</v>
      </c>
      <c r="AB445" s="56"/>
      <c r="AC445" s="62"/>
    </row>
    <row r="446" spans="7:29">
      <c r="G446" s="13"/>
      <c r="H446" s="13"/>
      <c r="I446" s="13"/>
      <c r="J446" s="13"/>
      <c r="N446" s="13"/>
      <c r="O446" s="13"/>
      <c r="P446" s="13"/>
      <c r="Q446" s="13"/>
      <c r="T446" s="10">
        <f>+'23'!D1</f>
        <v>46165</v>
      </c>
      <c r="U446" s="56" t="str">
        <f>+'23'!A39</f>
        <v/>
      </c>
      <c r="V446" s="56">
        <f>+'23'!B39</f>
        <v>0</v>
      </c>
      <c r="W446" s="56">
        <f>+'23'!C39</f>
        <v>0</v>
      </c>
      <c r="X446" s="56">
        <f>+'23'!D39</f>
        <v>0</v>
      </c>
      <c r="Y446" s="61">
        <f>+'23'!E39</f>
        <v>0</v>
      </c>
      <c r="AB446" s="56"/>
      <c r="AC446" s="62"/>
    </row>
    <row r="447" spans="7:29">
      <c r="G447" s="13"/>
      <c r="H447" s="13"/>
      <c r="I447" s="13"/>
      <c r="J447" s="13"/>
      <c r="N447" s="13"/>
      <c r="O447" s="13"/>
      <c r="P447" s="13"/>
      <c r="Q447" s="13"/>
      <c r="T447" s="10">
        <f>+'23'!D1</f>
        <v>46165</v>
      </c>
      <c r="U447" s="56" t="str">
        <f>+'23'!A40</f>
        <v/>
      </c>
      <c r="V447" s="56">
        <f>+'23'!B40</f>
        <v>0</v>
      </c>
      <c r="W447" s="56">
        <f>+'23'!C40</f>
        <v>0</v>
      </c>
      <c r="X447" s="56">
        <f>+'23'!D40</f>
        <v>0</v>
      </c>
      <c r="Y447" s="61">
        <f>+'23'!E40</f>
        <v>0</v>
      </c>
      <c r="AB447" s="56"/>
      <c r="AC447" s="62"/>
    </row>
    <row r="448" spans="7:29">
      <c r="G448" s="13"/>
      <c r="H448" s="13"/>
      <c r="I448" s="13"/>
      <c r="J448" s="13"/>
      <c r="N448" s="13"/>
      <c r="O448" s="13"/>
      <c r="P448" s="13"/>
      <c r="Q448" s="13"/>
      <c r="T448" s="10">
        <f>+'23'!D1</f>
        <v>46165</v>
      </c>
      <c r="U448" s="56" t="str">
        <f>+'23'!A41</f>
        <v/>
      </c>
      <c r="V448" s="56">
        <f>+'23'!B41</f>
        <v>0</v>
      </c>
      <c r="W448" s="56">
        <f>+'23'!C41</f>
        <v>0</v>
      </c>
      <c r="X448" s="56">
        <f>+'23'!D41</f>
        <v>0</v>
      </c>
      <c r="Y448" s="61">
        <f>+'23'!E41</f>
        <v>0</v>
      </c>
      <c r="AB448" s="56"/>
      <c r="AC448" s="62"/>
    </row>
    <row r="449" spans="7:29">
      <c r="G449" s="13"/>
      <c r="H449" s="13"/>
      <c r="I449" s="13"/>
      <c r="J449" s="13"/>
      <c r="N449" s="13"/>
      <c r="O449" s="13"/>
      <c r="P449" s="13"/>
      <c r="Q449" s="13"/>
      <c r="T449" s="10">
        <f>+'23'!D1</f>
        <v>46165</v>
      </c>
      <c r="U449" s="56" t="str">
        <f>+'23'!A42</f>
        <v/>
      </c>
      <c r="V449" s="56">
        <f>+'23'!B42</f>
        <v>0</v>
      </c>
      <c r="W449" s="56">
        <f>+'23'!C42</f>
        <v>0</v>
      </c>
      <c r="X449" s="56">
        <f>+'23'!D42</f>
        <v>0</v>
      </c>
      <c r="Y449" s="61">
        <f>+'23'!E42</f>
        <v>0</v>
      </c>
      <c r="AB449" s="56"/>
      <c r="AC449" s="62"/>
    </row>
    <row r="450" spans="7:29">
      <c r="G450" s="13"/>
      <c r="H450" s="13"/>
      <c r="I450" s="13"/>
      <c r="J450" s="13"/>
      <c r="N450" s="13"/>
      <c r="O450" s="13"/>
      <c r="P450" s="13"/>
      <c r="Q450" s="13"/>
      <c r="T450" s="10">
        <f>+'23'!D1</f>
        <v>46165</v>
      </c>
      <c r="U450" s="56" t="str">
        <f>+'23'!A43</f>
        <v/>
      </c>
      <c r="V450" s="56">
        <f>+'23'!B43</f>
        <v>0</v>
      </c>
      <c r="W450" s="56">
        <f>+'23'!C43</f>
        <v>0</v>
      </c>
      <c r="X450" s="56">
        <f>+'23'!D43</f>
        <v>0</v>
      </c>
      <c r="Y450" s="61">
        <f>+'23'!E43</f>
        <v>0</v>
      </c>
      <c r="AB450" s="56"/>
      <c r="AC450" s="62"/>
    </row>
    <row r="451" spans="7:29">
      <c r="G451" s="13"/>
      <c r="H451" s="13"/>
      <c r="I451" s="13"/>
      <c r="J451" s="13"/>
      <c r="N451" s="13"/>
      <c r="O451" s="13"/>
      <c r="P451" s="13"/>
      <c r="Q451" s="13"/>
      <c r="T451" s="10">
        <f>+'23'!D1</f>
        <v>46165</v>
      </c>
      <c r="U451" s="56" t="str">
        <f>+'23'!A44</f>
        <v/>
      </c>
      <c r="V451" s="56">
        <f>+'23'!B44</f>
        <v>0</v>
      </c>
      <c r="W451" s="56">
        <f>+'23'!C44</f>
        <v>0</v>
      </c>
      <c r="X451" s="56">
        <f>+'23'!D44</f>
        <v>0</v>
      </c>
      <c r="Y451" s="61">
        <f>+'23'!E44</f>
        <v>0</v>
      </c>
      <c r="AB451" s="56"/>
      <c r="AC451" s="62"/>
    </row>
    <row r="452" spans="7:29">
      <c r="G452" s="13"/>
      <c r="H452" s="13"/>
      <c r="I452" s="13"/>
      <c r="J452" s="13"/>
      <c r="N452" s="13"/>
      <c r="O452" s="13"/>
      <c r="P452" s="13"/>
      <c r="Q452" s="13"/>
      <c r="T452" s="10">
        <f>+'23'!D1</f>
        <v>46165</v>
      </c>
      <c r="U452" s="56" t="str">
        <f>+'23'!A45</f>
        <v/>
      </c>
      <c r="V452" s="56">
        <f>+'23'!B45</f>
        <v>0</v>
      </c>
      <c r="W452" s="56">
        <f>+'23'!C45</f>
        <v>0</v>
      </c>
      <c r="X452" s="56">
        <f>+'23'!D45</f>
        <v>0</v>
      </c>
      <c r="Y452" s="61">
        <f>+'23'!E45</f>
        <v>0</v>
      </c>
      <c r="AB452" s="56"/>
      <c r="AC452" s="62"/>
    </row>
    <row r="453" spans="7:29">
      <c r="G453" s="13"/>
      <c r="H453" s="13"/>
      <c r="I453" s="13"/>
      <c r="J453" s="13"/>
      <c r="N453" s="13"/>
      <c r="O453" s="13"/>
      <c r="P453" s="13"/>
      <c r="Q453" s="13"/>
      <c r="T453" s="10">
        <f>+'23'!D1</f>
        <v>46165</v>
      </c>
      <c r="U453" s="56" t="str">
        <f>+'23'!A46</f>
        <v/>
      </c>
      <c r="V453" s="56">
        <f>+'23'!B46</f>
        <v>0</v>
      </c>
      <c r="W453" s="56">
        <f>+'23'!C46</f>
        <v>0</v>
      </c>
      <c r="X453" s="56">
        <f>+'23'!D46</f>
        <v>0</v>
      </c>
      <c r="Y453" s="61">
        <f>+'23'!E46</f>
        <v>0</v>
      </c>
      <c r="AB453" s="56"/>
      <c r="AC453" s="62"/>
    </row>
    <row r="454" spans="7:29">
      <c r="G454" s="13"/>
      <c r="H454" s="13"/>
      <c r="I454" s="13"/>
      <c r="J454" s="13"/>
      <c r="N454" s="13"/>
      <c r="O454" s="13"/>
      <c r="P454" s="13"/>
      <c r="Q454" s="13"/>
      <c r="T454" s="10">
        <f>+'23'!D1</f>
        <v>46165</v>
      </c>
      <c r="U454" s="56" t="str">
        <f>+'23'!A47</f>
        <v/>
      </c>
      <c r="V454" s="56">
        <f>+'23'!B47</f>
        <v>0</v>
      </c>
      <c r="W454" s="56">
        <f>+'23'!C47</f>
        <v>0</v>
      </c>
      <c r="X454" s="56">
        <f>+'23'!D47</f>
        <v>0</v>
      </c>
      <c r="Y454" s="61">
        <f>+'23'!E47</f>
        <v>0</v>
      </c>
      <c r="AB454" s="56"/>
      <c r="AC454" s="62"/>
    </row>
    <row r="455" spans="7:29">
      <c r="G455" s="13"/>
      <c r="H455" s="13"/>
      <c r="I455" s="13"/>
      <c r="J455" s="13"/>
      <c r="N455" s="13"/>
      <c r="O455" s="13"/>
      <c r="P455" s="13"/>
      <c r="Q455" s="13"/>
      <c r="T455" s="10">
        <f>+'23'!D1</f>
        <v>46165</v>
      </c>
      <c r="U455" s="56" t="str">
        <f>+'23'!A48</f>
        <v/>
      </c>
      <c r="V455" s="56">
        <f>+'23'!B48</f>
        <v>0</v>
      </c>
      <c r="W455" s="56">
        <f>+'23'!C48</f>
        <v>0</v>
      </c>
      <c r="X455" s="56">
        <f>+'23'!D48</f>
        <v>0</v>
      </c>
      <c r="Y455" s="61">
        <f>+'23'!E48</f>
        <v>0</v>
      </c>
      <c r="AB455" s="56"/>
      <c r="AC455" s="62"/>
    </row>
    <row r="456" spans="7:29">
      <c r="G456" s="13"/>
      <c r="H456" s="13"/>
      <c r="I456" s="13"/>
      <c r="J456" s="13"/>
      <c r="N456" s="13"/>
      <c r="O456" s="13"/>
      <c r="P456" s="13"/>
      <c r="Q456" s="13"/>
      <c r="T456" s="10">
        <f>+'23'!D1</f>
        <v>46165</v>
      </c>
      <c r="U456" s="56" t="str">
        <f>+'23'!A49</f>
        <v/>
      </c>
      <c r="V456" s="56">
        <f>+'23'!B49</f>
        <v>0</v>
      </c>
      <c r="W456" s="56">
        <f>+'23'!C49</f>
        <v>0</v>
      </c>
      <c r="X456" s="56">
        <f>+'23'!D49</f>
        <v>0</v>
      </c>
      <c r="Y456" s="61">
        <f>+'23'!E49</f>
        <v>0</v>
      </c>
      <c r="AB456" s="56"/>
      <c r="AC456" s="62"/>
    </row>
    <row r="457" spans="7:29">
      <c r="G457" s="13"/>
      <c r="H457" s="13"/>
      <c r="I457" s="13"/>
      <c r="J457" s="13"/>
      <c r="N457" s="13"/>
      <c r="O457" s="13"/>
      <c r="P457" s="13"/>
      <c r="Q457" s="13"/>
      <c r="T457" s="10">
        <f>+'23'!D1</f>
        <v>46165</v>
      </c>
      <c r="U457" s="56" t="str">
        <f>+'23'!A50</f>
        <v/>
      </c>
      <c r="V457" s="56">
        <f>+'23'!B50</f>
        <v>0</v>
      </c>
      <c r="W457" s="56">
        <f>+'23'!C50</f>
        <v>0</v>
      </c>
      <c r="X457" s="56">
        <f>+'23'!D50</f>
        <v>0</v>
      </c>
      <c r="Y457" s="61">
        <f>+'23'!E50</f>
        <v>0</v>
      </c>
      <c r="AB457" s="56"/>
      <c r="AC457" s="62"/>
    </row>
    <row r="458" spans="7:29">
      <c r="G458" s="13"/>
      <c r="H458" s="13"/>
      <c r="I458" s="13"/>
      <c r="J458" s="13"/>
      <c r="N458" s="13"/>
      <c r="O458" s="13"/>
      <c r="P458" s="13"/>
      <c r="Q458" s="13"/>
      <c r="T458" s="10">
        <f>+'23'!D1</f>
        <v>46165</v>
      </c>
      <c r="U458" s="56" t="str">
        <f>+'23'!A51</f>
        <v/>
      </c>
      <c r="V458" s="56">
        <f>+'23'!B51</f>
        <v>0</v>
      </c>
      <c r="W458" s="56">
        <f>+'23'!C51</f>
        <v>0</v>
      </c>
      <c r="X458" s="56">
        <f>+'23'!D51</f>
        <v>0</v>
      </c>
      <c r="Y458" s="61">
        <f>+'23'!E51</f>
        <v>0</v>
      </c>
      <c r="AB458" s="56"/>
      <c r="AC458" s="62"/>
    </row>
    <row r="459" spans="7:29">
      <c r="G459" s="13"/>
      <c r="H459" s="13"/>
      <c r="I459" s="13"/>
      <c r="J459" s="13"/>
      <c r="N459" s="13"/>
      <c r="O459" s="13"/>
      <c r="P459" s="13"/>
      <c r="Q459" s="13"/>
      <c r="T459" s="10">
        <f>+'23'!D1</f>
        <v>46165</v>
      </c>
      <c r="U459" s="56" t="str">
        <f>+'23'!A52</f>
        <v/>
      </c>
      <c r="V459" s="56">
        <f>+'23'!B52</f>
        <v>0</v>
      </c>
      <c r="W459" s="56">
        <f>+'23'!C52</f>
        <v>0</v>
      </c>
      <c r="X459" s="56">
        <f>+'23'!D52</f>
        <v>0</v>
      </c>
      <c r="Y459" s="61">
        <f>+'23'!E52</f>
        <v>0</v>
      </c>
      <c r="AB459" s="56"/>
      <c r="AC459" s="62"/>
    </row>
    <row r="460" spans="7:29">
      <c r="G460" s="13"/>
      <c r="H460" s="13"/>
      <c r="I460" s="13"/>
      <c r="J460" s="13"/>
      <c r="N460" s="13"/>
      <c r="O460" s="13"/>
      <c r="P460" s="13"/>
      <c r="Q460" s="13"/>
      <c r="T460" s="10">
        <f>+'23'!D1</f>
        <v>46165</v>
      </c>
      <c r="U460" s="56" t="str">
        <f>+'23'!A53</f>
        <v/>
      </c>
      <c r="V460" s="56">
        <f>+'23'!B53</f>
        <v>0</v>
      </c>
      <c r="W460" s="56">
        <f>+'23'!C53</f>
        <v>0</v>
      </c>
      <c r="X460" s="56">
        <f>+'23'!D53</f>
        <v>0</v>
      </c>
      <c r="Y460" s="61">
        <f>+'23'!E53</f>
        <v>0</v>
      </c>
      <c r="AB460" s="56"/>
      <c r="AC460" s="62"/>
    </row>
    <row r="461" spans="7:29">
      <c r="G461" s="13"/>
      <c r="H461" s="13"/>
      <c r="I461" s="13"/>
      <c r="J461" s="13"/>
      <c r="N461" s="13"/>
      <c r="O461" s="13"/>
      <c r="P461" s="13"/>
      <c r="Q461" s="13"/>
      <c r="T461" s="10">
        <f>+'23'!D1</f>
        <v>46165</v>
      </c>
      <c r="U461" s="56" t="str">
        <f>+'23'!A54</f>
        <v/>
      </c>
      <c r="V461" s="56">
        <f>+'23'!B54</f>
        <v>0</v>
      </c>
      <c r="W461" s="56">
        <f>+'23'!C54</f>
        <v>0</v>
      </c>
      <c r="X461" s="56">
        <f>+'23'!D54</f>
        <v>0</v>
      </c>
      <c r="Y461" s="61">
        <f>+'23'!E54</f>
        <v>0</v>
      </c>
      <c r="AB461" s="56"/>
      <c r="AC461" s="62"/>
    </row>
    <row r="462" spans="7:29">
      <c r="G462" s="13"/>
      <c r="H462" s="13"/>
      <c r="I462" s="13"/>
      <c r="J462" s="13"/>
      <c r="N462" s="13"/>
      <c r="O462" s="13"/>
      <c r="P462" s="13"/>
      <c r="Q462" s="13"/>
      <c r="T462" s="10">
        <f>+'23'!D1</f>
        <v>46165</v>
      </c>
      <c r="U462" s="56" t="str">
        <f>+'23'!A55</f>
        <v/>
      </c>
      <c r="V462" s="56">
        <f>+'23'!B55</f>
        <v>0</v>
      </c>
      <c r="W462" s="56">
        <f>+'23'!C55</f>
        <v>0</v>
      </c>
      <c r="X462" s="56">
        <f>+'23'!D55</f>
        <v>0</v>
      </c>
      <c r="Y462" s="61">
        <f>+'23'!E55</f>
        <v>0</v>
      </c>
      <c r="AB462" s="56"/>
      <c r="AC462" s="62"/>
    </row>
    <row r="463" spans="7:29">
      <c r="G463" s="13"/>
      <c r="H463" s="13"/>
      <c r="I463" s="13"/>
      <c r="J463" s="13"/>
      <c r="N463" s="13"/>
      <c r="O463" s="13"/>
      <c r="P463" s="13"/>
      <c r="Q463" s="13"/>
      <c r="T463" s="10">
        <f>+'24'!D1</f>
        <v>46166</v>
      </c>
      <c r="U463" s="56" t="str">
        <f>+'24'!A36</f>
        <v/>
      </c>
      <c r="V463" s="56">
        <f>+'24'!B36</f>
        <v>0</v>
      </c>
      <c r="W463" s="56">
        <f>+'24'!C36</f>
        <v>0</v>
      </c>
      <c r="X463" s="56">
        <f>+'24'!D36</f>
        <v>0</v>
      </c>
      <c r="Y463" s="61">
        <f>+'24'!E36</f>
        <v>0</v>
      </c>
      <c r="AB463" s="56"/>
      <c r="AC463" s="62"/>
    </row>
    <row r="464" spans="7:29">
      <c r="G464" s="13"/>
      <c r="H464" s="13"/>
      <c r="I464" s="13"/>
      <c r="J464" s="13"/>
      <c r="N464" s="13"/>
      <c r="O464" s="13"/>
      <c r="P464" s="13"/>
      <c r="Q464" s="13"/>
      <c r="T464" s="10">
        <f>+'24'!D1</f>
        <v>46166</v>
      </c>
      <c r="U464" s="56" t="str">
        <f>+'24'!A37</f>
        <v/>
      </c>
      <c r="V464" s="56">
        <f>+'24'!B37</f>
        <v>0</v>
      </c>
      <c r="W464" s="56">
        <f>+'24'!C37</f>
        <v>0</v>
      </c>
      <c r="X464" s="56">
        <f>+'24'!D37</f>
        <v>0</v>
      </c>
      <c r="Y464" s="61">
        <f>+'24'!E37</f>
        <v>0</v>
      </c>
      <c r="AB464" s="56"/>
      <c r="AC464" s="62"/>
    </row>
    <row r="465" spans="7:29">
      <c r="G465" s="13"/>
      <c r="H465" s="13"/>
      <c r="I465" s="13"/>
      <c r="J465" s="13"/>
      <c r="N465" s="13"/>
      <c r="O465" s="13"/>
      <c r="P465" s="13"/>
      <c r="Q465" s="13"/>
      <c r="T465" s="10">
        <f>+'24'!D1</f>
        <v>46166</v>
      </c>
      <c r="U465" s="56" t="str">
        <f>+'24'!A38</f>
        <v/>
      </c>
      <c r="V465" s="56">
        <f>+'24'!B38</f>
        <v>0</v>
      </c>
      <c r="W465" s="56">
        <f>+'24'!C38</f>
        <v>0</v>
      </c>
      <c r="X465" s="56">
        <f>+'24'!D38</f>
        <v>0</v>
      </c>
      <c r="Y465" s="61">
        <f>+'24'!E38</f>
        <v>0</v>
      </c>
      <c r="AB465" s="56"/>
      <c r="AC465" s="62"/>
    </row>
    <row r="466" spans="7:29">
      <c r="G466" s="13"/>
      <c r="H466" s="13"/>
      <c r="I466" s="13"/>
      <c r="J466" s="13"/>
      <c r="N466" s="13"/>
      <c r="O466" s="13"/>
      <c r="P466" s="13"/>
      <c r="Q466" s="13"/>
      <c r="T466" s="10">
        <f>+'24'!D1</f>
        <v>46166</v>
      </c>
      <c r="U466" s="56" t="str">
        <f>+'24'!A39</f>
        <v/>
      </c>
      <c r="V466" s="56">
        <f>+'24'!B39</f>
        <v>0</v>
      </c>
      <c r="W466" s="56">
        <f>+'24'!C39</f>
        <v>0</v>
      </c>
      <c r="X466" s="56">
        <f>+'24'!D39</f>
        <v>0</v>
      </c>
      <c r="Y466" s="61">
        <f>+'24'!E39</f>
        <v>0</v>
      </c>
      <c r="AB466" s="56"/>
      <c r="AC466" s="62"/>
    </row>
    <row r="467" spans="7:29">
      <c r="G467" s="13"/>
      <c r="H467" s="13"/>
      <c r="I467" s="13"/>
      <c r="J467" s="13"/>
      <c r="N467" s="13"/>
      <c r="O467" s="13"/>
      <c r="P467" s="13"/>
      <c r="Q467" s="13"/>
      <c r="T467" s="10">
        <f>+'24'!D1</f>
        <v>46166</v>
      </c>
      <c r="U467" s="56" t="str">
        <f>+'24'!A40</f>
        <v/>
      </c>
      <c r="V467" s="56">
        <f>+'24'!B40</f>
        <v>0</v>
      </c>
      <c r="W467" s="56">
        <f>+'24'!C40</f>
        <v>0</v>
      </c>
      <c r="X467" s="56">
        <f>+'24'!D40</f>
        <v>0</v>
      </c>
      <c r="Y467" s="61">
        <f>+'24'!E40</f>
        <v>0</v>
      </c>
      <c r="AB467" s="56"/>
      <c r="AC467" s="62"/>
    </row>
    <row r="468" spans="7:29">
      <c r="G468" s="13"/>
      <c r="H468" s="13"/>
      <c r="I468" s="13"/>
      <c r="J468" s="13"/>
      <c r="N468" s="13"/>
      <c r="O468" s="13"/>
      <c r="P468" s="13"/>
      <c r="Q468" s="13"/>
      <c r="T468" s="10">
        <f>+'24'!D1</f>
        <v>46166</v>
      </c>
      <c r="U468" s="56" t="str">
        <f>+'24'!A41</f>
        <v/>
      </c>
      <c r="V468" s="56">
        <f>+'24'!B41</f>
        <v>0</v>
      </c>
      <c r="W468" s="56">
        <f>+'24'!C41</f>
        <v>0</v>
      </c>
      <c r="X468" s="56">
        <f>+'24'!D41</f>
        <v>0</v>
      </c>
      <c r="Y468" s="61">
        <f>+'24'!E41</f>
        <v>0</v>
      </c>
      <c r="AB468" s="56"/>
      <c r="AC468" s="62"/>
    </row>
    <row r="469" spans="7:29">
      <c r="G469" s="13"/>
      <c r="H469" s="13"/>
      <c r="I469" s="13"/>
      <c r="J469" s="13"/>
      <c r="N469" s="13"/>
      <c r="O469" s="13"/>
      <c r="P469" s="13"/>
      <c r="Q469" s="13"/>
      <c r="T469" s="10">
        <f>+'24'!D1</f>
        <v>46166</v>
      </c>
      <c r="U469" s="56" t="str">
        <f>+'24'!A42</f>
        <v/>
      </c>
      <c r="V469" s="56">
        <f>+'24'!B42</f>
        <v>0</v>
      </c>
      <c r="W469" s="56">
        <f>+'24'!C42</f>
        <v>0</v>
      </c>
      <c r="X469" s="56">
        <f>+'24'!D42</f>
        <v>0</v>
      </c>
      <c r="Y469" s="61">
        <f>+'24'!E42</f>
        <v>0</v>
      </c>
      <c r="AB469" s="56"/>
      <c r="AC469" s="62"/>
    </row>
    <row r="470" spans="7:29">
      <c r="G470" s="13"/>
      <c r="H470" s="13"/>
      <c r="I470" s="13"/>
      <c r="J470" s="13"/>
      <c r="N470" s="13"/>
      <c r="O470" s="13"/>
      <c r="P470" s="13"/>
      <c r="Q470" s="13"/>
      <c r="T470" s="10">
        <f>+'24'!D1</f>
        <v>46166</v>
      </c>
      <c r="U470" s="56" t="str">
        <f>+'24'!A43</f>
        <v/>
      </c>
      <c r="V470" s="56">
        <f>+'24'!B43</f>
        <v>0</v>
      </c>
      <c r="W470" s="56">
        <f>+'24'!C43</f>
        <v>0</v>
      </c>
      <c r="X470" s="56">
        <f>+'24'!D43</f>
        <v>0</v>
      </c>
      <c r="Y470" s="61">
        <f>+'24'!E43</f>
        <v>0</v>
      </c>
      <c r="AB470" s="56"/>
      <c r="AC470" s="62"/>
    </row>
    <row r="471" spans="7:29">
      <c r="G471" s="13"/>
      <c r="H471" s="13"/>
      <c r="I471" s="13"/>
      <c r="J471" s="13"/>
      <c r="N471" s="13"/>
      <c r="O471" s="13"/>
      <c r="P471" s="13"/>
      <c r="Q471" s="13"/>
      <c r="T471" s="10">
        <f>+'24'!D1</f>
        <v>46166</v>
      </c>
      <c r="U471" s="56" t="str">
        <f>+'24'!A44</f>
        <v/>
      </c>
      <c r="V471" s="56">
        <f>+'24'!B44</f>
        <v>0</v>
      </c>
      <c r="W471" s="56">
        <f>+'24'!C44</f>
        <v>0</v>
      </c>
      <c r="X471" s="56">
        <f>+'24'!D44</f>
        <v>0</v>
      </c>
      <c r="Y471" s="61">
        <f>+'24'!E44</f>
        <v>0</v>
      </c>
      <c r="AB471" s="56"/>
      <c r="AC471" s="62"/>
    </row>
    <row r="472" spans="7:29">
      <c r="G472" s="13"/>
      <c r="H472" s="13"/>
      <c r="I472" s="13"/>
      <c r="J472" s="13"/>
      <c r="N472" s="13"/>
      <c r="O472" s="13"/>
      <c r="P472" s="13"/>
      <c r="Q472" s="13"/>
      <c r="T472" s="10">
        <f>+'24'!D1</f>
        <v>46166</v>
      </c>
      <c r="U472" s="56" t="str">
        <f>+'24'!A45</f>
        <v/>
      </c>
      <c r="V472" s="56">
        <f>+'24'!B45</f>
        <v>0</v>
      </c>
      <c r="W472" s="56">
        <f>+'24'!C45</f>
        <v>0</v>
      </c>
      <c r="X472" s="56">
        <f>+'24'!D45</f>
        <v>0</v>
      </c>
      <c r="Y472" s="61">
        <f>+'24'!E45</f>
        <v>0</v>
      </c>
      <c r="AB472" s="56"/>
      <c r="AC472" s="62"/>
    </row>
    <row r="473" spans="7:29">
      <c r="G473" s="13"/>
      <c r="H473" s="13"/>
      <c r="I473" s="13"/>
      <c r="J473" s="13"/>
      <c r="N473" s="13"/>
      <c r="O473" s="13"/>
      <c r="P473" s="13"/>
      <c r="Q473" s="13"/>
      <c r="T473" s="10">
        <f>+'24'!D1</f>
        <v>46166</v>
      </c>
      <c r="U473" s="56" t="str">
        <f>+'24'!A46</f>
        <v/>
      </c>
      <c r="V473" s="56">
        <f>+'24'!B46</f>
        <v>0</v>
      </c>
      <c r="W473" s="56">
        <f>+'24'!C46</f>
        <v>0</v>
      </c>
      <c r="X473" s="56">
        <f>+'24'!D46</f>
        <v>0</v>
      </c>
      <c r="Y473" s="61">
        <f>+'24'!E46</f>
        <v>0</v>
      </c>
      <c r="AB473" s="56"/>
      <c r="AC473" s="62"/>
    </row>
    <row r="474" spans="7:29">
      <c r="G474" s="13"/>
      <c r="H474" s="13"/>
      <c r="I474" s="13"/>
      <c r="J474" s="13"/>
      <c r="N474" s="13"/>
      <c r="O474" s="13"/>
      <c r="P474" s="13"/>
      <c r="Q474" s="13"/>
      <c r="T474" s="10">
        <f>+'24'!D1</f>
        <v>46166</v>
      </c>
      <c r="U474" s="56" t="str">
        <f>+'24'!A47</f>
        <v/>
      </c>
      <c r="V474" s="56">
        <f>+'24'!B47</f>
        <v>0</v>
      </c>
      <c r="W474" s="56">
        <f>+'24'!C47</f>
        <v>0</v>
      </c>
      <c r="X474" s="56">
        <f>+'24'!D47</f>
        <v>0</v>
      </c>
      <c r="Y474" s="61">
        <f>+'24'!E47</f>
        <v>0</v>
      </c>
      <c r="AB474" s="56"/>
      <c r="AC474" s="62"/>
    </row>
    <row r="475" spans="7:29">
      <c r="G475" s="13"/>
      <c r="H475" s="13"/>
      <c r="I475" s="13"/>
      <c r="J475" s="13"/>
      <c r="N475" s="13"/>
      <c r="O475" s="13"/>
      <c r="P475" s="13"/>
      <c r="Q475" s="13"/>
      <c r="T475" s="10">
        <f>+'24'!D1</f>
        <v>46166</v>
      </c>
      <c r="U475" s="56" t="str">
        <f>+'24'!A48</f>
        <v/>
      </c>
      <c r="V475" s="56">
        <f>+'24'!B48</f>
        <v>0</v>
      </c>
      <c r="W475" s="56">
        <f>+'24'!C48</f>
        <v>0</v>
      </c>
      <c r="X475" s="56">
        <f>+'24'!D48</f>
        <v>0</v>
      </c>
      <c r="Y475" s="61">
        <f>+'24'!E48</f>
        <v>0</v>
      </c>
      <c r="AB475" s="56"/>
      <c r="AC475" s="62"/>
    </row>
    <row r="476" spans="7:29">
      <c r="G476" s="13"/>
      <c r="H476" s="13"/>
      <c r="I476" s="13"/>
      <c r="J476" s="13"/>
      <c r="N476" s="13"/>
      <c r="O476" s="13"/>
      <c r="P476" s="13"/>
      <c r="Q476" s="13"/>
      <c r="T476" s="10">
        <f>+'24'!D1</f>
        <v>46166</v>
      </c>
      <c r="U476" s="56" t="str">
        <f>+'24'!A49</f>
        <v/>
      </c>
      <c r="V476" s="56">
        <f>+'24'!B49</f>
        <v>0</v>
      </c>
      <c r="W476" s="56">
        <f>+'24'!C49</f>
        <v>0</v>
      </c>
      <c r="X476" s="56">
        <f>+'24'!D49</f>
        <v>0</v>
      </c>
      <c r="Y476" s="61">
        <f>+'24'!E49</f>
        <v>0</v>
      </c>
      <c r="AB476" s="56"/>
      <c r="AC476" s="62"/>
    </row>
    <row r="477" spans="7:29">
      <c r="G477" s="13"/>
      <c r="H477" s="13"/>
      <c r="I477" s="13"/>
      <c r="J477" s="13"/>
      <c r="N477" s="13"/>
      <c r="O477" s="13"/>
      <c r="P477" s="13"/>
      <c r="Q477" s="13"/>
      <c r="T477" s="10">
        <f>+'24'!D1</f>
        <v>46166</v>
      </c>
      <c r="U477" s="56" t="str">
        <f>+'24'!A50</f>
        <v/>
      </c>
      <c r="V477" s="56">
        <f>+'24'!B50</f>
        <v>0</v>
      </c>
      <c r="W477" s="56">
        <f>+'24'!C50</f>
        <v>0</v>
      </c>
      <c r="X477" s="56">
        <f>+'24'!D50</f>
        <v>0</v>
      </c>
      <c r="Y477" s="61">
        <f>+'24'!E50</f>
        <v>0</v>
      </c>
      <c r="AB477" s="56"/>
      <c r="AC477" s="62"/>
    </row>
    <row r="478" spans="7:29">
      <c r="G478" s="13"/>
      <c r="H478" s="13"/>
      <c r="I478" s="13"/>
      <c r="J478" s="13"/>
      <c r="N478" s="13"/>
      <c r="O478" s="13"/>
      <c r="P478" s="13"/>
      <c r="Q478" s="13"/>
      <c r="T478" s="10">
        <f>+'24'!D1</f>
        <v>46166</v>
      </c>
      <c r="U478" s="56" t="str">
        <f>+'24'!A51</f>
        <v/>
      </c>
      <c r="V478" s="56">
        <f>+'24'!B51</f>
        <v>0</v>
      </c>
      <c r="W478" s="56">
        <f>+'24'!C51</f>
        <v>0</v>
      </c>
      <c r="X478" s="56">
        <f>+'24'!D51</f>
        <v>0</v>
      </c>
      <c r="Y478" s="61">
        <f>+'24'!E51</f>
        <v>0</v>
      </c>
      <c r="AB478" s="56"/>
      <c r="AC478" s="62"/>
    </row>
    <row r="479" spans="7:29">
      <c r="G479" s="13"/>
      <c r="H479" s="13"/>
      <c r="I479" s="13"/>
      <c r="J479" s="13"/>
      <c r="N479" s="13"/>
      <c r="O479" s="13"/>
      <c r="P479" s="13"/>
      <c r="Q479" s="13"/>
      <c r="T479" s="10">
        <f>+'24'!D1</f>
        <v>46166</v>
      </c>
      <c r="U479" s="56" t="str">
        <f>+'24'!A52</f>
        <v/>
      </c>
      <c r="V479" s="56">
        <f>+'24'!B52</f>
        <v>0</v>
      </c>
      <c r="W479" s="56">
        <f>+'24'!C52</f>
        <v>0</v>
      </c>
      <c r="X479" s="56">
        <f>+'24'!D52</f>
        <v>0</v>
      </c>
      <c r="Y479" s="61">
        <f>+'24'!E52</f>
        <v>0</v>
      </c>
      <c r="AB479" s="56"/>
      <c r="AC479" s="62"/>
    </row>
    <row r="480" spans="7:29">
      <c r="G480" s="13"/>
      <c r="H480" s="13"/>
      <c r="I480" s="13"/>
      <c r="J480" s="13"/>
      <c r="N480" s="13"/>
      <c r="O480" s="13"/>
      <c r="P480" s="13"/>
      <c r="Q480" s="13"/>
      <c r="T480" s="10">
        <f>+'24'!D1</f>
        <v>46166</v>
      </c>
      <c r="U480" s="56" t="str">
        <f>+'24'!A53</f>
        <v/>
      </c>
      <c r="V480" s="56">
        <f>+'24'!B53</f>
        <v>0</v>
      </c>
      <c r="W480" s="56">
        <f>+'24'!C53</f>
        <v>0</v>
      </c>
      <c r="X480" s="56">
        <f>+'24'!D53</f>
        <v>0</v>
      </c>
      <c r="Y480" s="61">
        <f>+'24'!E53</f>
        <v>0</v>
      </c>
      <c r="AB480" s="56"/>
      <c r="AC480" s="62"/>
    </row>
    <row r="481" spans="7:29">
      <c r="G481" s="13"/>
      <c r="H481" s="13"/>
      <c r="I481" s="13"/>
      <c r="J481" s="13"/>
      <c r="N481" s="13"/>
      <c r="O481" s="13"/>
      <c r="P481" s="13"/>
      <c r="Q481" s="13"/>
      <c r="T481" s="10">
        <f>+'24'!D1</f>
        <v>46166</v>
      </c>
      <c r="U481" s="56" t="str">
        <f>+'24'!A54</f>
        <v/>
      </c>
      <c r="V481" s="56">
        <f>+'24'!B54</f>
        <v>0</v>
      </c>
      <c r="W481" s="56">
        <f>+'24'!C54</f>
        <v>0</v>
      </c>
      <c r="X481" s="56">
        <f>+'24'!D54</f>
        <v>0</v>
      </c>
      <c r="Y481" s="61">
        <f>+'24'!E54</f>
        <v>0</v>
      </c>
      <c r="AB481" s="56"/>
      <c r="AC481" s="62"/>
    </row>
    <row r="482" spans="7:29">
      <c r="G482" s="13"/>
      <c r="H482" s="13"/>
      <c r="I482" s="13"/>
      <c r="J482" s="13"/>
      <c r="N482" s="13"/>
      <c r="O482" s="13"/>
      <c r="P482" s="13"/>
      <c r="Q482" s="13"/>
      <c r="T482" s="10">
        <f>+'24'!D1</f>
        <v>46166</v>
      </c>
      <c r="U482" s="56" t="str">
        <f>+'24'!A55</f>
        <v/>
      </c>
      <c r="V482" s="56">
        <f>+'24'!B55</f>
        <v>0</v>
      </c>
      <c r="W482" s="56">
        <f>+'24'!C55</f>
        <v>0</v>
      </c>
      <c r="X482" s="56">
        <f>+'24'!D55</f>
        <v>0</v>
      </c>
      <c r="Y482" s="61">
        <f>+'24'!E55</f>
        <v>0</v>
      </c>
      <c r="AB482" s="56"/>
      <c r="AC482" s="62"/>
    </row>
    <row r="483" spans="7:29">
      <c r="G483" s="13"/>
      <c r="H483" s="13"/>
      <c r="I483" s="13"/>
      <c r="J483" s="13"/>
      <c r="N483" s="13"/>
      <c r="O483" s="13"/>
      <c r="P483" s="13"/>
      <c r="Q483" s="13"/>
      <c r="T483" s="10">
        <f>+'25'!D1</f>
        <v>46167</v>
      </c>
      <c r="U483" s="56" t="str">
        <f>+'25'!A36</f>
        <v/>
      </c>
      <c r="V483" s="56">
        <f>+'25'!B36</f>
        <v>0</v>
      </c>
      <c r="W483" s="56">
        <f>+'25'!C36</f>
        <v>0</v>
      </c>
      <c r="X483" s="56">
        <f>+'25'!D36</f>
        <v>0</v>
      </c>
      <c r="Y483" s="61">
        <f>+'25'!E36</f>
        <v>0</v>
      </c>
      <c r="AB483" s="56"/>
      <c r="AC483" s="62"/>
    </row>
    <row r="484" spans="7:29">
      <c r="G484" s="13"/>
      <c r="H484" s="13"/>
      <c r="I484" s="13"/>
      <c r="J484" s="13"/>
      <c r="N484" s="13"/>
      <c r="O484" s="13"/>
      <c r="P484" s="13"/>
      <c r="Q484" s="13"/>
      <c r="T484" s="10">
        <f>+'25'!D1</f>
        <v>46167</v>
      </c>
      <c r="U484" s="56" t="str">
        <f>+'25'!A37</f>
        <v/>
      </c>
      <c r="V484" s="56">
        <f>+'25'!B37</f>
        <v>0</v>
      </c>
      <c r="W484" s="56">
        <f>+'25'!C37</f>
        <v>0</v>
      </c>
      <c r="X484" s="56">
        <f>+'25'!D37</f>
        <v>0</v>
      </c>
      <c r="Y484" s="61">
        <f>+'25'!E37</f>
        <v>0</v>
      </c>
      <c r="AB484" s="56"/>
      <c r="AC484" s="62"/>
    </row>
    <row r="485" spans="7:29">
      <c r="G485" s="13"/>
      <c r="H485" s="13"/>
      <c r="I485" s="13"/>
      <c r="J485" s="13"/>
      <c r="N485" s="13"/>
      <c r="O485" s="13"/>
      <c r="P485" s="13"/>
      <c r="Q485" s="13"/>
      <c r="T485" s="10">
        <f>+'25'!D1</f>
        <v>46167</v>
      </c>
      <c r="U485" s="56" t="str">
        <f>+'25'!A38</f>
        <v/>
      </c>
      <c r="V485" s="56">
        <f>+'25'!B38</f>
        <v>0</v>
      </c>
      <c r="W485" s="56">
        <f>+'25'!C38</f>
        <v>0</v>
      </c>
      <c r="X485" s="56">
        <f>+'25'!D38</f>
        <v>0</v>
      </c>
      <c r="Y485" s="61">
        <f>+'25'!E38</f>
        <v>0</v>
      </c>
      <c r="AB485" s="56"/>
      <c r="AC485" s="62"/>
    </row>
    <row r="486" spans="7:29">
      <c r="G486" s="13"/>
      <c r="H486" s="13"/>
      <c r="I486" s="13"/>
      <c r="J486" s="13"/>
      <c r="N486" s="13"/>
      <c r="O486" s="13"/>
      <c r="P486" s="13"/>
      <c r="Q486" s="13"/>
      <c r="T486" s="10">
        <f>+'25'!D1</f>
        <v>46167</v>
      </c>
      <c r="U486" s="56" t="str">
        <f>+'25'!A39</f>
        <v/>
      </c>
      <c r="V486" s="56">
        <f>+'25'!B39</f>
        <v>0</v>
      </c>
      <c r="W486" s="56">
        <f>+'25'!C39</f>
        <v>0</v>
      </c>
      <c r="X486" s="56">
        <f>+'25'!D39</f>
        <v>0</v>
      </c>
      <c r="Y486" s="61">
        <f>+'25'!E39</f>
        <v>0</v>
      </c>
      <c r="AB486" s="56"/>
      <c r="AC486" s="62"/>
    </row>
    <row r="487" spans="7:29">
      <c r="G487" s="13"/>
      <c r="H487" s="13"/>
      <c r="I487" s="13"/>
      <c r="J487" s="13"/>
      <c r="N487" s="13"/>
      <c r="O487" s="13"/>
      <c r="P487" s="13"/>
      <c r="Q487" s="13"/>
      <c r="T487" s="10">
        <f>+'25'!D1</f>
        <v>46167</v>
      </c>
      <c r="U487" s="56" t="str">
        <f>+'25'!A40</f>
        <v/>
      </c>
      <c r="V487" s="56">
        <f>+'25'!B40</f>
        <v>0</v>
      </c>
      <c r="W487" s="56">
        <f>+'25'!C40</f>
        <v>0</v>
      </c>
      <c r="X487" s="56">
        <f>+'25'!D40</f>
        <v>0</v>
      </c>
      <c r="Y487" s="61">
        <f>+'25'!E40</f>
        <v>0</v>
      </c>
      <c r="AB487" s="56"/>
      <c r="AC487" s="62"/>
    </row>
    <row r="488" spans="7:29">
      <c r="G488" s="13"/>
      <c r="H488" s="13"/>
      <c r="I488" s="13"/>
      <c r="J488" s="13"/>
      <c r="N488" s="13"/>
      <c r="O488" s="13"/>
      <c r="P488" s="13"/>
      <c r="Q488" s="13"/>
      <c r="T488" s="10">
        <f>+'25'!D1</f>
        <v>46167</v>
      </c>
      <c r="U488" s="56" t="str">
        <f>+'25'!A41</f>
        <v/>
      </c>
      <c r="V488" s="56">
        <f>+'25'!B41</f>
        <v>0</v>
      </c>
      <c r="W488" s="56">
        <f>+'25'!C41</f>
        <v>0</v>
      </c>
      <c r="X488" s="56">
        <f>+'25'!D41</f>
        <v>0</v>
      </c>
      <c r="Y488" s="61">
        <f>+'25'!E41</f>
        <v>0</v>
      </c>
      <c r="AB488" s="56"/>
      <c r="AC488" s="62"/>
    </row>
    <row r="489" spans="7:29">
      <c r="G489" s="13"/>
      <c r="H489" s="13"/>
      <c r="I489" s="13"/>
      <c r="J489" s="13"/>
      <c r="N489" s="13"/>
      <c r="O489" s="13"/>
      <c r="P489" s="13"/>
      <c r="Q489" s="13"/>
      <c r="T489" s="10">
        <f>+'25'!D1</f>
        <v>46167</v>
      </c>
      <c r="U489" s="56" t="str">
        <f>+'25'!A42</f>
        <v/>
      </c>
      <c r="V489" s="56">
        <f>+'25'!B42</f>
        <v>0</v>
      </c>
      <c r="W489" s="56">
        <f>+'25'!C42</f>
        <v>0</v>
      </c>
      <c r="X489" s="56">
        <f>+'25'!D42</f>
        <v>0</v>
      </c>
      <c r="Y489" s="61">
        <f>+'25'!E42</f>
        <v>0</v>
      </c>
      <c r="AB489" s="56"/>
      <c r="AC489" s="62"/>
    </row>
    <row r="490" spans="7:29">
      <c r="G490" s="13"/>
      <c r="H490" s="13"/>
      <c r="I490" s="13"/>
      <c r="J490" s="13"/>
      <c r="N490" s="13"/>
      <c r="O490" s="13"/>
      <c r="P490" s="13"/>
      <c r="Q490" s="13"/>
      <c r="T490" s="10">
        <f>+'25'!D1</f>
        <v>46167</v>
      </c>
      <c r="U490" s="56" t="str">
        <f>+'25'!A43</f>
        <v/>
      </c>
      <c r="V490" s="56">
        <f>+'25'!B43</f>
        <v>0</v>
      </c>
      <c r="W490" s="56">
        <f>+'25'!C43</f>
        <v>0</v>
      </c>
      <c r="X490" s="56">
        <f>+'25'!D43</f>
        <v>0</v>
      </c>
      <c r="Y490" s="61">
        <f>+'25'!E43</f>
        <v>0</v>
      </c>
      <c r="AB490" s="56"/>
      <c r="AC490" s="62"/>
    </row>
    <row r="491" spans="7:29">
      <c r="G491" s="13"/>
      <c r="H491" s="13"/>
      <c r="I491" s="13"/>
      <c r="J491" s="13"/>
      <c r="N491" s="13"/>
      <c r="O491" s="13"/>
      <c r="P491" s="13"/>
      <c r="Q491" s="13"/>
      <c r="T491" s="10">
        <f>+'25'!D1</f>
        <v>46167</v>
      </c>
      <c r="U491" s="56" t="str">
        <f>+'25'!A44</f>
        <v/>
      </c>
      <c r="V491" s="56">
        <f>+'25'!B44</f>
        <v>0</v>
      </c>
      <c r="W491" s="56">
        <f>+'25'!C44</f>
        <v>0</v>
      </c>
      <c r="X491" s="56">
        <f>+'25'!D44</f>
        <v>0</v>
      </c>
      <c r="Y491" s="61">
        <f>+'25'!E44</f>
        <v>0</v>
      </c>
      <c r="AB491" s="56"/>
      <c r="AC491" s="62"/>
    </row>
    <row r="492" spans="7:29">
      <c r="G492" s="13"/>
      <c r="H492" s="13"/>
      <c r="I492" s="13"/>
      <c r="J492" s="13"/>
      <c r="N492" s="13"/>
      <c r="O492" s="13"/>
      <c r="P492" s="13"/>
      <c r="Q492" s="13"/>
      <c r="T492" s="10">
        <f>+'25'!D1</f>
        <v>46167</v>
      </c>
      <c r="U492" s="56" t="str">
        <f>+'25'!A45</f>
        <v/>
      </c>
      <c r="V492" s="56">
        <f>+'25'!B45</f>
        <v>0</v>
      </c>
      <c r="W492" s="56">
        <f>+'25'!C45</f>
        <v>0</v>
      </c>
      <c r="X492" s="56">
        <f>+'25'!D45</f>
        <v>0</v>
      </c>
      <c r="Y492" s="61">
        <f>+'25'!E45</f>
        <v>0</v>
      </c>
      <c r="AB492" s="56"/>
      <c r="AC492" s="62"/>
    </row>
    <row r="493" spans="7:29">
      <c r="G493" s="13"/>
      <c r="H493" s="13"/>
      <c r="I493" s="13"/>
      <c r="J493" s="13"/>
      <c r="N493" s="13"/>
      <c r="O493" s="13"/>
      <c r="P493" s="13"/>
      <c r="Q493" s="13"/>
      <c r="T493" s="10">
        <f>+'25'!D1</f>
        <v>46167</v>
      </c>
      <c r="U493" s="56" t="str">
        <f>+'25'!A46</f>
        <v/>
      </c>
      <c r="V493" s="56">
        <f>+'25'!B46</f>
        <v>0</v>
      </c>
      <c r="W493" s="56">
        <f>+'25'!C46</f>
        <v>0</v>
      </c>
      <c r="X493" s="56">
        <f>+'25'!D46</f>
        <v>0</v>
      </c>
      <c r="Y493" s="61">
        <f>+'25'!E46</f>
        <v>0</v>
      </c>
      <c r="AB493" s="56"/>
      <c r="AC493" s="62"/>
    </row>
    <row r="494" spans="7:29">
      <c r="G494" s="13"/>
      <c r="H494" s="13"/>
      <c r="I494" s="13"/>
      <c r="J494" s="13"/>
      <c r="N494" s="13"/>
      <c r="O494" s="13"/>
      <c r="P494" s="13"/>
      <c r="Q494" s="13"/>
      <c r="T494" s="10">
        <f>+'25'!D1</f>
        <v>46167</v>
      </c>
      <c r="U494" s="56" t="str">
        <f>+'25'!A47</f>
        <v/>
      </c>
      <c r="V494" s="56">
        <f>+'25'!B47</f>
        <v>0</v>
      </c>
      <c r="W494" s="56">
        <f>+'25'!C47</f>
        <v>0</v>
      </c>
      <c r="X494" s="56">
        <f>+'25'!D47</f>
        <v>0</v>
      </c>
      <c r="Y494" s="61">
        <f>+'25'!E47</f>
        <v>0</v>
      </c>
      <c r="AB494" s="56"/>
      <c r="AC494" s="62"/>
    </row>
    <row r="495" spans="7:29">
      <c r="G495" s="13"/>
      <c r="H495" s="13"/>
      <c r="I495" s="13"/>
      <c r="J495" s="13"/>
      <c r="N495" s="13"/>
      <c r="O495" s="13"/>
      <c r="P495" s="13"/>
      <c r="Q495" s="13"/>
      <c r="T495" s="10">
        <f>+'25'!D1</f>
        <v>46167</v>
      </c>
      <c r="U495" s="56" t="str">
        <f>+'25'!A48</f>
        <v/>
      </c>
      <c r="V495" s="56">
        <f>+'25'!B48</f>
        <v>0</v>
      </c>
      <c r="W495" s="56">
        <f>+'25'!C48</f>
        <v>0</v>
      </c>
      <c r="X495" s="56">
        <f>+'25'!D48</f>
        <v>0</v>
      </c>
      <c r="Y495" s="61">
        <f>+'25'!E48</f>
        <v>0</v>
      </c>
      <c r="AB495" s="56"/>
      <c r="AC495" s="62"/>
    </row>
    <row r="496" spans="7:29">
      <c r="G496" s="13"/>
      <c r="H496" s="13"/>
      <c r="I496" s="13"/>
      <c r="J496" s="13"/>
      <c r="N496" s="13"/>
      <c r="O496" s="13"/>
      <c r="P496" s="13"/>
      <c r="Q496" s="13"/>
      <c r="T496" s="10">
        <f>+'25'!D1</f>
        <v>46167</v>
      </c>
      <c r="U496" s="56" t="str">
        <f>+'25'!A49</f>
        <v/>
      </c>
      <c r="V496" s="56">
        <f>+'25'!B49</f>
        <v>0</v>
      </c>
      <c r="W496" s="56">
        <f>+'25'!C49</f>
        <v>0</v>
      </c>
      <c r="X496" s="56">
        <f>+'25'!D49</f>
        <v>0</v>
      </c>
      <c r="Y496" s="61">
        <f>+'25'!E49</f>
        <v>0</v>
      </c>
      <c r="AB496" s="56"/>
      <c r="AC496" s="62"/>
    </row>
    <row r="497" spans="7:29">
      <c r="G497" s="13"/>
      <c r="H497" s="13"/>
      <c r="I497" s="13"/>
      <c r="J497" s="13"/>
      <c r="N497" s="13"/>
      <c r="O497" s="13"/>
      <c r="P497" s="13"/>
      <c r="Q497" s="13"/>
      <c r="T497" s="10">
        <f>+'25'!D1</f>
        <v>46167</v>
      </c>
      <c r="U497" s="56" t="str">
        <f>+'25'!A50</f>
        <v/>
      </c>
      <c r="V497" s="56">
        <f>+'25'!B50</f>
        <v>0</v>
      </c>
      <c r="W497" s="56">
        <f>+'25'!C50</f>
        <v>0</v>
      </c>
      <c r="X497" s="56">
        <f>+'25'!D50</f>
        <v>0</v>
      </c>
      <c r="Y497" s="61">
        <f>+'25'!E50</f>
        <v>0</v>
      </c>
      <c r="AB497" s="56"/>
      <c r="AC497" s="62"/>
    </row>
    <row r="498" spans="7:29">
      <c r="G498" s="13"/>
      <c r="H498" s="13"/>
      <c r="I498" s="13"/>
      <c r="J498" s="13"/>
      <c r="N498" s="13"/>
      <c r="O498" s="13"/>
      <c r="P498" s="13"/>
      <c r="Q498" s="13"/>
      <c r="T498" s="10">
        <f>+'25'!D1</f>
        <v>46167</v>
      </c>
      <c r="U498" s="56" t="str">
        <f>+'25'!A51</f>
        <v/>
      </c>
      <c r="V498" s="56">
        <f>+'25'!B51</f>
        <v>0</v>
      </c>
      <c r="W498" s="56">
        <f>+'25'!C51</f>
        <v>0</v>
      </c>
      <c r="X498" s="56">
        <f>+'25'!D51</f>
        <v>0</v>
      </c>
      <c r="Y498" s="61">
        <f>+'25'!E51</f>
        <v>0</v>
      </c>
      <c r="AB498" s="56"/>
      <c r="AC498" s="62"/>
    </row>
    <row r="499" spans="7:29">
      <c r="G499" s="13"/>
      <c r="H499" s="13"/>
      <c r="I499" s="13"/>
      <c r="J499" s="13"/>
      <c r="N499" s="13"/>
      <c r="O499" s="13"/>
      <c r="P499" s="13"/>
      <c r="Q499" s="13"/>
      <c r="T499" s="10">
        <f>+'25'!D1</f>
        <v>46167</v>
      </c>
      <c r="U499" s="56" t="str">
        <f>+'25'!A52</f>
        <v/>
      </c>
      <c r="V499" s="56">
        <f>+'25'!B52</f>
        <v>0</v>
      </c>
      <c r="W499" s="56">
        <f>+'25'!C52</f>
        <v>0</v>
      </c>
      <c r="X499" s="56">
        <f>+'25'!D52</f>
        <v>0</v>
      </c>
      <c r="Y499" s="61">
        <f>+'25'!E52</f>
        <v>0</v>
      </c>
      <c r="AB499" s="56"/>
      <c r="AC499" s="62"/>
    </row>
    <row r="500" spans="7:29">
      <c r="G500" s="13"/>
      <c r="H500" s="13"/>
      <c r="I500" s="13"/>
      <c r="J500" s="13"/>
      <c r="N500" s="13"/>
      <c r="O500" s="13"/>
      <c r="P500" s="13"/>
      <c r="Q500" s="13"/>
      <c r="T500" s="10">
        <f>+'25'!D1</f>
        <v>46167</v>
      </c>
      <c r="U500" s="56" t="str">
        <f>+'25'!A53</f>
        <v/>
      </c>
      <c r="V500" s="56">
        <f>+'25'!B53</f>
        <v>0</v>
      </c>
      <c r="W500" s="56">
        <f>+'25'!C53</f>
        <v>0</v>
      </c>
      <c r="X500" s="56">
        <f>+'25'!D53</f>
        <v>0</v>
      </c>
      <c r="Y500" s="61">
        <f>+'25'!E53</f>
        <v>0</v>
      </c>
      <c r="AB500" s="56"/>
      <c r="AC500" s="62"/>
    </row>
    <row r="501" spans="7:29">
      <c r="G501" s="13"/>
      <c r="H501" s="13"/>
      <c r="I501" s="13"/>
      <c r="J501" s="13"/>
      <c r="N501" s="13"/>
      <c r="O501" s="13"/>
      <c r="P501" s="13"/>
      <c r="Q501" s="13"/>
      <c r="T501" s="10">
        <f>+'25'!D1</f>
        <v>46167</v>
      </c>
      <c r="U501" s="56" t="str">
        <f>+'25'!A54</f>
        <v/>
      </c>
      <c r="V501" s="56">
        <f>+'25'!B54</f>
        <v>0</v>
      </c>
      <c r="W501" s="56">
        <f>+'25'!C54</f>
        <v>0</v>
      </c>
      <c r="X501" s="56">
        <f>+'25'!D54</f>
        <v>0</v>
      </c>
      <c r="Y501" s="61">
        <f>+'25'!E54</f>
        <v>0</v>
      </c>
      <c r="AB501" s="56"/>
      <c r="AC501" s="62"/>
    </row>
    <row r="502" spans="7:29">
      <c r="G502" s="13"/>
      <c r="H502" s="13"/>
      <c r="I502" s="13"/>
      <c r="J502" s="13"/>
      <c r="N502" s="13"/>
      <c r="O502" s="13"/>
      <c r="P502" s="13"/>
      <c r="Q502" s="13"/>
      <c r="T502" s="10">
        <f>+'25'!D1</f>
        <v>46167</v>
      </c>
      <c r="U502" s="56" t="str">
        <f>+'25'!A55</f>
        <v/>
      </c>
      <c r="V502" s="56">
        <f>+'25'!B55</f>
        <v>0</v>
      </c>
      <c r="W502" s="56">
        <f>+'25'!C55</f>
        <v>0</v>
      </c>
      <c r="X502" s="56">
        <f>+'25'!D55</f>
        <v>0</v>
      </c>
      <c r="Y502" s="61">
        <f>+'25'!E55</f>
        <v>0</v>
      </c>
      <c r="AB502" s="56"/>
      <c r="AC502" s="62"/>
    </row>
    <row r="503" spans="7:29">
      <c r="G503" s="13"/>
      <c r="H503" s="13"/>
      <c r="I503" s="13"/>
      <c r="J503" s="13"/>
      <c r="N503" s="13"/>
      <c r="O503" s="13"/>
      <c r="P503" s="13"/>
      <c r="Q503" s="13"/>
      <c r="T503" s="10">
        <f>+'26'!D1</f>
        <v>46168</v>
      </c>
      <c r="U503" s="56" t="str">
        <f>+'26'!A36</f>
        <v/>
      </c>
      <c r="V503" s="56">
        <f>+'26'!B36</f>
        <v>0</v>
      </c>
      <c r="W503" s="56">
        <f>+'26'!C36</f>
        <v>0</v>
      </c>
      <c r="X503" s="56">
        <f>+'26'!D36</f>
        <v>0</v>
      </c>
      <c r="Y503" s="61">
        <f>+'26'!E36</f>
        <v>0</v>
      </c>
      <c r="AB503" s="56"/>
      <c r="AC503" s="62"/>
    </row>
    <row r="504" spans="7:29">
      <c r="G504" s="13"/>
      <c r="H504" s="13"/>
      <c r="I504" s="13"/>
      <c r="J504" s="13"/>
      <c r="N504" s="13"/>
      <c r="O504" s="13"/>
      <c r="P504" s="13"/>
      <c r="Q504" s="13"/>
      <c r="T504" s="10">
        <f>+'26'!D1</f>
        <v>46168</v>
      </c>
      <c r="U504" s="56" t="str">
        <f>+'26'!A37</f>
        <v/>
      </c>
      <c r="V504" s="56">
        <f>+'26'!B37</f>
        <v>0</v>
      </c>
      <c r="W504" s="56">
        <f>+'26'!C37</f>
        <v>0</v>
      </c>
      <c r="X504" s="56">
        <f>+'26'!D37</f>
        <v>0</v>
      </c>
      <c r="Y504" s="61">
        <f>+'26'!E37</f>
        <v>0</v>
      </c>
      <c r="AB504" s="56"/>
      <c r="AC504" s="62"/>
    </row>
    <row r="505" spans="7:29">
      <c r="G505" s="13"/>
      <c r="H505" s="13"/>
      <c r="I505" s="13"/>
      <c r="J505" s="13"/>
      <c r="N505" s="13"/>
      <c r="O505" s="13"/>
      <c r="P505" s="13"/>
      <c r="Q505" s="13"/>
      <c r="T505" s="10">
        <f>+'26'!D1</f>
        <v>46168</v>
      </c>
      <c r="U505" s="56" t="str">
        <f>+'26'!A38</f>
        <v/>
      </c>
      <c r="V505" s="56">
        <f>+'26'!B38</f>
        <v>0</v>
      </c>
      <c r="W505" s="56">
        <f>+'26'!C38</f>
        <v>0</v>
      </c>
      <c r="X505" s="56">
        <f>+'26'!D38</f>
        <v>0</v>
      </c>
      <c r="Y505" s="61">
        <f>+'26'!E38</f>
        <v>0</v>
      </c>
      <c r="AB505" s="56"/>
      <c r="AC505" s="62"/>
    </row>
    <row r="506" spans="7:29">
      <c r="G506" s="13"/>
      <c r="H506" s="13"/>
      <c r="I506" s="13"/>
      <c r="J506" s="13"/>
      <c r="N506" s="13"/>
      <c r="O506" s="13"/>
      <c r="P506" s="13"/>
      <c r="Q506" s="13"/>
      <c r="T506" s="10">
        <f>+'26'!D1</f>
        <v>46168</v>
      </c>
      <c r="U506" s="56" t="str">
        <f>+'26'!A39</f>
        <v/>
      </c>
      <c r="V506" s="56">
        <f>+'26'!B39</f>
        <v>0</v>
      </c>
      <c r="W506" s="56">
        <f>+'26'!C39</f>
        <v>0</v>
      </c>
      <c r="X506" s="56">
        <f>+'26'!D39</f>
        <v>0</v>
      </c>
      <c r="Y506" s="61">
        <f>+'26'!E39</f>
        <v>0</v>
      </c>
      <c r="AB506" s="56"/>
      <c r="AC506" s="62"/>
    </row>
    <row r="507" spans="7:29">
      <c r="G507" s="13"/>
      <c r="H507" s="13"/>
      <c r="I507" s="13"/>
      <c r="J507" s="13"/>
      <c r="N507" s="13"/>
      <c r="O507" s="13"/>
      <c r="P507" s="13"/>
      <c r="Q507" s="13"/>
      <c r="T507" s="10">
        <f>+'26'!D1</f>
        <v>46168</v>
      </c>
      <c r="U507" s="56" t="str">
        <f>+'26'!A40</f>
        <v/>
      </c>
      <c r="V507" s="56">
        <f>+'26'!B40</f>
        <v>0</v>
      </c>
      <c r="W507" s="56">
        <f>+'26'!C40</f>
        <v>0</v>
      </c>
      <c r="X507" s="56">
        <f>+'26'!D40</f>
        <v>0</v>
      </c>
      <c r="Y507" s="61">
        <f>+'26'!E40</f>
        <v>0</v>
      </c>
      <c r="AB507" s="56"/>
      <c r="AC507" s="62"/>
    </row>
    <row r="508" spans="7:29">
      <c r="G508" s="13"/>
      <c r="H508" s="13"/>
      <c r="I508" s="13"/>
      <c r="J508" s="13"/>
      <c r="N508" s="13"/>
      <c r="O508" s="13"/>
      <c r="P508" s="13"/>
      <c r="Q508" s="13"/>
      <c r="T508" s="10">
        <f>+'26'!D1</f>
        <v>46168</v>
      </c>
      <c r="U508" s="56" t="str">
        <f>+'26'!A41</f>
        <v/>
      </c>
      <c r="V508" s="56">
        <f>+'26'!B41</f>
        <v>0</v>
      </c>
      <c r="W508" s="56">
        <f>+'26'!C41</f>
        <v>0</v>
      </c>
      <c r="X508" s="56">
        <f>+'26'!D41</f>
        <v>0</v>
      </c>
      <c r="Y508" s="61">
        <f>+'26'!E41</f>
        <v>0</v>
      </c>
      <c r="AB508" s="56"/>
      <c r="AC508" s="62"/>
    </row>
    <row r="509" spans="7:29">
      <c r="G509" s="13"/>
      <c r="H509" s="13"/>
      <c r="I509" s="13"/>
      <c r="J509" s="13"/>
      <c r="N509" s="13"/>
      <c r="O509" s="13"/>
      <c r="P509" s="13"/>
      <c r="Q509" s="13"/>
      <c r="T509" s="10">
        <f>+'26'!D1</f>
        <v>46168</v>
      </c>
      <c r="U509" s="56" t="str">
        <f>+'26'!A42</f>
        <v/>
      </c>
      <c r="V509" s="56">
        <f>+'26'!B42</f>
        <v>0</v>
      </c>
      <c r="W509" s="56">
        <f>+'26'!C42</f>
        <v>0</v>
      </c>
      <c r="X509" s="56">
        <f>+'26'!D42</f>
        <v>0</v>
      </c>
      <c r="Y509" s="61">
        <f>+'26'!E42</f>
        <v>0</v>
      </c>
      <c r="AB509" s="56"/>
      <c r="AC509" s="62"/>
    </row>
    <row r="510" spans="7:29">
      <c r="G510" s="13"/>
      <c r="H510" s="13"/>
      <c r="I510" s="13"/>
      <c r="J510" s="13"/>
      <c r="N510" s="13"/>
      <c r="O510" s="13"/>
      <c r="P510" s="13"/>
      <c r="Q510" s="13"/>
      <c r="T510" s="10">
        <f>+'26'!D1</f>
        <v>46168</v>
      </c>
      <c r="U510" s="56" t="str">
        <f>+'26'!A43</f>
        <v/>
      </c>
      <c r="V510" s="56">
        <f>+'26'!B43</f>
        <v>0</v>
      </c>
      <c r="W510" s="56">
        <f>+'26'!C43</f>
        <v>0</v>
      </c>
      <c r="X510" s="56">
        <f>+'26'!D43</f>
        <v>0</v>
      </c>
      <c r="Y510" s="61">
        <f>+'26'!E43</f>
        <v>0</v>
      </c>
      <c r="AB510" s="56"/>
      <c r="AC510" s="62"/>
    </row>
    <row r="511" spans="7:29">
      <c r="G511" s="13"/>
      <c r="H511" s="13"/>
      <c r="I511" s="13"/>
      <c r="J511" s="13"/>
      <c r="N511" s="13"/>
      <c r="O511" s="13"/>
      <c r="P511" s="13"/>
      <c r="Q511" s="13"/>
      <c r="T511" s="10">
        <f>+'26'!D1</f>
        <v>46168</v>
      </c>
      <c r="U511" s="56" t="str">
        <f>+'26'!A44</f>
        <v/>
      </c>
      <c r="V511" s="56">
        <f>+'26'!B44</f>
        <v>0</v>
      </c>
      <c r="W511" s="56">
        <f>+'26'!C44</f>
        <v>0</v>
      </c>
      <c r="X511" s="56">
        <f>+'26'!D44</f>
        <v>0</v>
      </c>
      <c r="Y511" s="61">
        <f>+'26'!E44</f>
        <v>0</v>
      </c>
      <c r="AB511" s="56"/>
      <c r="AC511" s="62"/>
    </row>
    <row r="512" spans="7:29">
      <c r="G512" s="13"/>
      <c r="H512" s="13"/>
      <c r="I512" s="13"/>
      <c r="J512" s="13"/>
      <c r="N512" s="13"/>
      <c r="O512" s="13"/>
      <c r="P512" s="13"/>
      <c r="Q512" s="13"/>
      <c r="T512" s="10">
        <f>+'26'!D1</f>
        <v>46168</v>
      </c>
      <c r="U512" s="56" t="str">
        <f>+'26'!A45</f>
        <v/>
      </c>
      <c r="V512" s="56">
        <f>+'26'!B45</f>
        <v>0</v>
      </c>
      <c r="W512" s="56">
        <f>+'26'!C45</f>
        <v>0</v>
      </c>
      <c r="X512" s="56">
        <f>+'26'!D45</f>
        <v>0</v>
      </c>
      <c r="Y512" s="61">
        <f>+'26'!E45</f>
        <v>0</v>
      </c>
      <c r="AB512" s="56"/>
      <c r="AC512" s="62"/>
    </row>
    <row r="513" spans="7:29">
      <c r="G513" s="13"/>
      <c r="H513" s="13"/>
      <c r="I513" s="13"/>
      <c r="J513" s="13"/>
      <c r="N513" s="13"/>
      <c r="O513" s="13"/>
      <c r="P513" s="13"/>
      <c r="Q513" s="13"/>
      <c r="T513" s="10">
        <f>+'26'!D1</f>
        <v>46168</v>
      </c>
      <c r="U513" s="56" t="str">
        <f>+'26'!A46</f>
        <v/>
      </c>
      <c r="V513" s="56">
        <f>+'26'!B46</f>
        <v>0</v>
      </c>
      <c r="W513" s="56">
        <f>+'26'!C46</f>
        <v>0</v>
      </c>
      <c r="X513" s="56">
        <f>+'26'!D46</f>
        <v>0</v>
      </c>
      <c r="Y513" s="61">
        <f>+'26'!E46</f>
        <v>0</v>
      </c>
      <c r="AB513" s="56"/>
      <c r="AC513" s="62"/>
    </row>
    <row r="514" spans="7:29">
      <c r="G514" s="13"/>
      <c r="H514" s="13"/>
      <c r="I514" s="13"/>
      <c r="J514" s="13"/>
      <c r="N514" s="13"/>
      <c r="O514" s="13"/>
      <c r="P514" s="13"/>
      <c r="Q514" s="13"/>
      <c r="T514" s="10">
        <f>+'26'!D1</f>
        <v>46168</v>
      </c>
      <c r="U514" s="56" t="str">
        <f>+'26'!A47</f>
        <v/>
      </c>
      <c r="V514" s="56">
        <f>+'26'!B47</f>
        <v>0</v>
      </c>
      <c r="W514" s="56">
        <f>+'26'!C47</f>
        <v>0</v>
      </c>
      <c r="X514" s="56">
        <f>+'26'!D47</f>
        <v>0</v>
      </c>
      <c r="Y514" s="61">
        <f>+'26'!E47</f>
        <v>0</v>
      </c>
      <c r="AB514" s="56"/>
      <c r="AC514" s="62"/>
    </row>
    <row r="515" spans="7:29">
      <c r="G515" s="13"/>
      <c r="H515" s="13"/>
      <c r="I515" s="13"/>
      <c r="J515" s="13"/>
      <c r="N515" s="13"/>
      <c r="O515" s="13"/>
      <c r="P515" s="13"/>
      <c r="Q515" s="13"/>
      <c r="T515" s="10">
        <f>+'26'!D1</f>
        <v>46168</v>
      </c>
      <c r="U515" s="56" t="str">
        <f>+'26'!A48</f>
        <v/>
      </c>
      <c r="V515" s="56">
        <f>+'26'!B48</f>
        <v>0</v>
      </c>
      <c r="W515" s="56">
        <f>+'26'!C48</f>
        <v>0</v>
      </c>
      <c r="X515" s="56">
        <f>+'26'!D48</f>
        <v>0</v>
      </c>
      <c r="Y515" s="61">
        <f>+'26'!E48</f>
        <v>0</v>
      </c>
      <c r="AB515" s="56"/>
      <c r="AC515" s="62"/>
    </row>
    <row r="516" spans="7:29">
      <c r="G516" s="13"/>
      <c r="H516" s="13"/>
      <c r="I516" s="13"/>
      <c r="J516" s="13"/>
      <c r="N516" s="13"/>
      <c r="O516" s="13"/>
      <c r="P516" s="13"/>
      <c r="Q516" s="13"/>
      <c r="T516" s="10">
        <f>+'26'!D1</f>
        <v>46168</v>
      </c>
      <c r="U516" s="56" t="str">
        <f>+'26'!A49</f>
        <v/>
      </c>
      <c r="V516" s="56">
        <f>+'26'!B49</f>
        <v>0</v>
      </c>
      <c r="W516" s="56">
        <f>+'26'!C49</f>
        <v>0</v>
      </c>
      <c r="X516" s="56">
        <f>+'26'!D49</f>
        <v>0</v>
      </c>
      <c r="Y516" s="61">
        <f>+'26'!E49</f>
        <v>0</v>
      </c>
      <c r="AB516" s="56"/>
      <c r="AC516" s="62"/>
    </row>
    <row r="517" spans="7:29">
      <c r="G517" s="13"/>
      <c r="H517" s="13"/>
      <c r="I517" s="13"/>
      <c r="J517" s="13"/>
      <c r="N517" s="13"/>
      <c r="O517" s="13"/>
      <c r="P517" s="13"/>
      <c r="Q517" s="13"/>
      <c r="T517" s="10">
        <f>+'26'!D1</f>
        <v>46168</v>
      </c>
      <c r="U517" s="56" t="str">
        <f>+'26'!A50</f>
        <v/>
      </c>
      <c r="V517" s="56">
        <f>+'26'!B50</f>
        <v>0</v>
      </c>
      <c r="W517" s="56">
        <f>+'26'!C50</f>
        <v>0</v>
      </c>
      <c r="X517" s="56">
        <f>+'26'!D50</f>
        <v>0</v>
      </c>
      <c r="Y517" s="61">
        <f>+'26'!E50</f>
        <v>0</v>
      </c>
      <c r="AB517" s="56"/>
      <c r="AC517" s="62"/>
    </row>
    <row r="518" spans="7:29">
      <c r="G518" s="13"/>
      <c r="H518" s="13"/>
      <c r="I518" s="13"/>
      <c r="J518" s="13"/>
      <c r="N518" s="13"/>
      <c r="O518" s="13"/>
      <c r="P518" s="13"/>
      <c r="Q518" s="13"/>
      <c r="T518" s="10">
        <f>+'26'!D1</f>
        <v>46168</v>
      </c>
      <c r="U518" s="56" t="str">
        <f>+'26'!A51</f>
        <v/>
      </c>
      <c r="V518" s="56">
        <f>+'26'!B51</f>
        <v>0</v>
      </c>
      <c r="W518" s="56">
        <f>+'26'!C51</f>
        <v>0</v>
      </c>
      <c r="X518" s="56">
        <f>+'26'!D51</f>
        <v>0</v>
      </c>
      <c r="Y518" s="61">
        <f>+'26'!E51</f>
        <v>0</v>
      </c>
      <c r="AB518" s="56"/>
      <c r="AC518" s="62"/>
    </row>
    <row r="519" spans="20:29">
      <c r="T519" s="10">
        <f>+'26'!D1</f>
        <v>46168</v>
      </c>
      <c r="U519" s="56" t="str">
        <f>+'26'!A52</f>
        <v/>
      </c>
      <c r="V519" s="56">
        <f>+'26'!B52</f>
        <v>0</v>
      </c>
      <c r="W519" s="56">
        <f>+'26'!C52</f>
        <v>0</v>
      </c>
      <c r="X519" s="56">
        <f>+'26'!D52</f>
        <v>0</v>
      </c>
      <c r="Y519" s="61">
        <f>+'26'!E52</f>
        <v>0</v>
      </c>
      <c r="AB519" s="56"/>
      <c r="AC519" s="62"/>
    </row>
    <row r="520" spans="20:29">
      <c r="T520" s="10">
        <f>+'26'!D1</f>
        <v>46168</v>
      </c>
      <c r="U520" s="56" t="str">
        <f>+'26'!A53</f>
        <v/>
      </c>
      <c r="V520" s="56">
        <f>+'26'!B53</f>
        <v>0</v>
      </c>
      <c r="W520" s="56">
        <f>+'26'!C53</f>
        <v>0</v>
      </c>
      <c r="X520" s="56">
        <f>+'26'!D53</f>
        <v>0</v>
      </c>
      <c r="Y520" s="61">
        <f>+'26'!E53</f>
        <v>0</v>
      </c>
      <c r="AB520" s="56"/>
      <c r="AC520" s="62"/>
    </row>
    <row r="521" spans="20:29">
      <c r="T521" s="10">
        <f>+'26'!D1</f>
        <v>46168</v>
      </c>
      <c r="U521" s="56" t="str">
        <f>+'26'!A54</f>
        <v/>
      </c>
      <c r="V521" s="56">
        <f>+'26'!B54</f>
        <v>0</v>
      </c>
      <c r="W521" s="56">
        <f>+'26'!C54</f>
        <v>0</v>
      </c>
      <c r="X521" s="56">
        <f>+'26'!D54</f>
        <v>0</v>
      </c>
      <c r="Y521" s="61">
        <f>+'26'!E54</f>
        <v>0</v>
      </c>
      <c r="AB521" s="56"/>
      <c r="AC521" s="62"/>
    </row>
    <row r="522" spans="20:29">
      <c r="T522" s="10">
        <f>+'26'!D1</f>
        <v>46168</v>
      </c>
      <c r="U522" s="56" t="str">
        <f>+'26'!A55</f>
        <v/>
      </c>
      <c r="V522" s="56">
        <f>+'26'!B55</f>
        <v>0</v>
      </c>
      <c r="W522" s="56">
        <f>+'26'!C55</f>
        <v>0</v>
      </c>
      <c r="X522" s="56">
        <f>+'26'!D55</f>
        <v>0</v>
      </c>
      <c r="Y522" s="61">
        <f>+'26'!E55</f>
        <v>0</v>
      </c>
      <c r="AB522" s="56"/>
      <c r="AC522" s="62"/>
    </row>
    <row r="523" spans="20:29">
      <c r="T523" s="10">
        <f>+'27'!D1</f>
        <v>46169</v>
      </c>
      <c r="U523" s="56" t="str">
        <f>+'27'!A36</f>
        <v/>
      </c>
      <c r="V523" s="56">
        <f>+'27'!B36</f>
        <v>0</v>
      </c>
      <c r="W523" s="56">
        <f>+'27'!C36</f>
        <v>0</v>
      </c>
      <c r="X523" s="56">
        <f>+'27'!D36</f>
        <v>0</v>
      </c>
      <c r="Y523" s="61">
        <f>+'27'!E36</f>
        <v>0</v>
      </c>
      <c r="AB523" s="56"/>
      <c r="AC523" s="62"/>
    </row>
    <row r="524" spans="20:29">
      <c r="T524" s="10">
        <f>+'27'!D1</f>
        <v>46169</v>
      </c>
      <c r="U524" s="56" t="str">
        <f>+'27'!A37</f>
        <v/>
      </c>
      <c r="V524" s="56">
        <f>+'27'!B37</f>
        <v>0</v>
      </c>
      <c r="W524" s="56">
        <f>+'27'!C37</f>
        <v>0</v>
      </c>
      <c r="X524" s="56">
        <f>+'27'!D37</f>
        <v>0</v>
      </c>
      <c r="Y524" s="61">
        <f>+'27'!E37</f>
        <v>0</v>
      </c>
      <c r="AB524" s="56"/>
      <c r="AC524" s="62"/>
    </row>
    <row r="525" spans="20:29">
      <c r="T525" s="10">
        <f>+'27'!D1</f>
        <v>46169</v>
      </c>
      <c r="U525" s="56" t="str">
        <f>+'27'!A38</f>
        <v/>
      </c>
      <c r="V525" s="56">
        <f>+'27'!B38</f>
        <v>0</v>
      </c>
      <c r="W525" s="56">
        <f>+'27'!C38</f>
        <v>0</v>
      </c>
      <c r="X525" s="56">
        <f>+'27'!D38</f>
        <v>0</v>
      </c>
      <c r="Y525" s="61">
        <f>+'27'!E38</f>
        <v>0</v>
      </c>
      <c r="AB525" s="56"/>
      <c r="AC525" s="62"/>
    </row>
    <row r="526" spans="20:29">
      <c r="T526" s="10">
        <f>+'27'!D1</f>
        <v>46169</v>
      </c>
      <c r="U526" s="56" t="str">
        <f>+'27'!A39</f>
        <v/>
      </c>
      <c r="V526" s="56">
        <f>+'27'!B39</f>
        <v>0</v>
      </c>
      <c r="W526" s="56">
        <f>+'27'!C39</f>
        <v>0</v>
      </c>
      <c r="X526" s="56">
        <f>+'27'!D39</f>
        <v>0</v>
      </c>
      <c r="Y526" s="61">
        <f>+'27'!E39</f>
        <v>0</v>
      </c>
      <c r="AB526" s="56"/>
      <c r="AC526" s="62"/>
    </row>
    <row r="527" spans="20:29">
      <c r="T527" s="10">
        <f>+'27'!D1</f>
        <v>46169</v>
      </c>
      <c r="U527" s="56" t="str">
        <f>+'27'!A40</f>
        <v/>
      </c>
      <c r="V527" s="56">
        <f>+'27'!B40</f>
        <v>0</v>
      </c>
      <c r="W527" s="56">
        <f>+'27'!C40</f>
        <v>0</v>
      </c>
      <c r="X527" s="56">
        <f>+'27'!D40</f>
        <v>0</v>
      </c>
      <c r="Y527" s="61">
        <f>+'27'!E40</f>
        <v>0</v>
      </c>
      <c r="AB527" s="56"/>
      <c r="AC527" s="62"/>
    </row>
    <row r="528" spans="20:29">
      <c r="T528" s="10">
        <f>+'27'!D1</f>
        <v>46169</v>
      </c>
      <c r="U528" s="56" t="str">
        <f>+'27'!A41</f>
        <v/>
      </c>
      <c r="V528" s="56">
        <f>+'27'!B41</f>
        <v>0</v>
      </c>
      <c r="W528" s="56">
        <f>+'27'!C41</f>
        <v>0</v>
      </c>
      <c r="X528" s="56">
        <f>+'27'!D41</f>
        <v>0</v>
      </c>
      <c r="Y528" s="61">
        <f>+'27'!E41</f>
        <v>0</v>
      </c>
      <c r="AB528" s="56"/>
      <c r="AC528" s="62"/>
    </row>
    <row r="529" spans="20:29">
      <c r="T529" s="10">
        <f>+'27'!D1</f>
        <v>46169</v>
      </c>
      <c r="U529" s="56" t="str">
        <f>+'27'!A42</f>
        <v/>
      </c>
      <c r="V529" s="56">
        <f>+'27'!B42</f>
        <v>0</v>
      </c>
      <c r="W529" s="56">
        <f>+'27'!C42</f>
        <v>0</v>
      </c>
      <c r="X529" s="56">
        <f>+'27'!D42</f>
        <v>0</v>
      </c>
      <c r="Y529" s="61">
        <f>+'27'!E42</f>
        <v>0</v>
      </c>
      <c r="AB529" s="56"/>
      <c r="AC529" s="62"/>
    </row>
    <row r="530" spans="20:29">
      <c r="T530" s="10">
        <f>+'27'!D1</f>
        <v>46169</v>
      </c>
      <c r="U530" s="56" t="str">
        <f>+'27'!A43</f>
        <v/>
      </c>
      <c r="V530" s="56">
        <f>+'27'!B43</f>
        <v>0</v>
      </c>
      <c r="W530" s="56">
        <f>+'27'!C43</f>
        <v>0</v>
      </c>
      <c r="X530" s="56">
        <f>+'27'!D43</f>
        <v>0</v>
      </c>
      <c r="Y530" s="61">
        <f>+'27'!E43</f>
        <v>0</v>
      </c>
      <c r="AB530" s="56"/>
      <c r="AC530" s="62"/>
    </row>
    <row r="531" spans="20:29">
      <c r="T531" s="10">
        <f>+'27'!D1</f>
        <v>46169</v>
      </c>
      <c r="U531" s="56" t="str">
        <f>+'27'!A44</f>
        <v/>
      </c>
      <c r="V531" s="56">
        <f>+'27'!B44</f>
        <v>0</v>
      </c>
      <c r="W531" s="56">
        <f>+'27'!C44</f>
        <v>0</v>
      </c>
      <c r="X531" s="56">
        <f>+'27'!D44</f>
        <v>0</v>
      </c>
      <c r="Y531" s="61">
        <f>+'27'!E44</f>
        <v>0</v>
      </c>
      <c r="AB531" s="56"/>
      <c r="AC531" s="62"/>
    </row>
    <row r="532" spans="20:29">
      <c r="T532" s="10">
        <f>+'27'!D1</f>
        <v>46169</v>
      </c>
      <c r="U532" s="56" t="str">
        <f>+'27'!A45</f>
        <v/>
      </c>
      <c r="V532" s="56">
        <f>+'27'!B45</f>
        <v>0</v>
      </c>
      <c r="W532" s="56">
        <f>+'27'!C45</f>
        <v>0</v>
      </c>
      <c r="X532" s="56">
        <f>+'27'!D45</f>
        <v>0</v>
      </c>
      <c r="Y532" s="61">
        <f>+'27'!E45</f>
        <v>0</v>
      </c>
      <c r="AB532" s="56"/>
      <c r="AC532" s="62"/>
    </row>
    <row r="533" spans="20:29">
      <c r="T533" s="10">
        <f>+'27'!D1</f>
        <v>46169</v>
      </c>
      <c r="U533" s="56" t="str">
        <f>+'27'!A46</f>
        <v/>
      </c>
      <c r="V533" s="56">
        <f>+'27'!B46</f>
        <v>0</v>
      </c>
      <c r="W533" s="56">
        <f>+'27'!C46</f>
        <v>0</v>
      </c>
      <c r="X533" s="56">
        <f>+'27'!D46</f>
        <v>0</v>
      </c>
      <c r="Y533" s="61">
        <f>+'27'!E46</f>
        <v>0</v>
      </c>
      <c r="AB533" s="56"/>
      <c r="AC533" s="62"/>
    </row>
    <row r="534" spans="20:29">
      <c r="T534" s="10">
        <f>+'27'!D1</f>
        <v>46169</v>
      </c>
      <c r="U534" s="56" t="str">
        <f>+'27'!A47</f>
        <v/>
      </c>
      <c r="V534" s="56">
        <f>+'27'!B47</f>
        <v>0</v>
      </c>
      <c r="W534" s="56">
        <f>+'27'!C47</f>
        <v>0</v>
      </c>
      <c r="X534" s="56">
        <f>+'27'!D47</f>
        <v>0</v>
      </c>
      <c r="Y534" s="61">
        <f>+'27'!E47</f>
        <v>0</v>
      </c>
      <c r="AB534" s="56"/>
      <c r="AC534" s="62"/>
    </row>
    <row r="535" spans="20:29">
      <c r="T535" s="10">
        <f>+'27'!D1</f>
        <v>46169</v>
      </c>
      <c r="U535" s="56" t="str">
        <f>+'27'!A48</f>
        <v/>
      </c>
      <c r="V535" s="56">
        <f>+'27'!B48</f>
        <v>0</v>
      </c>
      <c r="W535" s="56">
        <f>+'27'!C48</f>
        <v>0</v>
      </c>
      <c r="X535" s="56">
        <f>+'27'!D48</f>
        <v>0</v>
      </c>
      <c r="Y535" s="61">
        <f>+'27'!E48</f>
        <v>0</v>
      </c>
      <c r="AB535" s="56"/>
      <c r="AC535" s="62"/>
    </row>
    <row r="536" spans="20:29">
      <c r="T536" s="10">
        <f>+'27'!D1</f>
        <v>46169</v>
      </c>
      <c r="U536" s="56" t="str">
        <f>+'27'!A49</f>
        <v/>
      </c>
      <c r="V536" s="56">
        <f>+'27'!B49</f>
        <v>0</v>
      </c>
      <c r="W536" s="56">
        <f>+'27'!C49</f>
        <v>0</v>
      </c>
      <c r="X536" s="56">
        <f>+'27'!D49</f>
        <v>0</v>
      </c>
      <c r="Y536" s="61">
        <f>+'27'!E49</f>
        <v>0</v>
      </c>
      <c r="AB536" s="56"/>
      <c r="AC536" s="62"/>
    </row>
    <row r="537" spans="20:29">
      <c r="T537" s="10">
        <f>+'27'!D1</f>
        <v>46169</v>
      </c>
      <c r="U537" s="56" t="str">
        <f>+'27'!A50</f>
        <v/>
      </c>
      <c r="V537" s="56">
        <f>+'27'!B50</f>
        <v>0</v>
      </c>
      <c r="W537" s="56">
        <f>+'27'!C50</f>
        <v>0</v>
      </c>
      <c r="X537" s="56">
        <f>+'27'!D50</f>
        <v>0</v>
      </c>
      <c r="Y537" s="61">
        <f>+'27'!E50</f>
        <v>0</v>
      </c>
      <c r="AB537" s="56"/>
      <c r="AC537" s="62"/>
    </row>
    <row r="538" spans="20:29">
      <c r="T538" s="10">
        <f>+'27'!D1</f>
        <v>46169</v>
      </c>
      <c r="U538" s="56" t="str">
        <f>+'27'!A51</f>
        <v/>
      </c>
      <c r="V538" s="56">
        <f>+'27'!B51</f>
        <v>0</v>
      </c>
      <c r="W538" s="56">
        <f>+'27'!C51</f>
        <v>0</v>
      </c>
      <c r="X538" s="56">
        <f>+'27'!D51</f>
        <v>0</v>
      </c>
      <c r="Y538" s="61">
        <f>+'27'!E51</f>
        <v>0</v>
      </c>
      <c r="AB538" s="56"/>
      <c r="AC538" s="62"/>
    </row>
    <row r="539" spans="20:29">
      <c r="T539" s="10">
        <f>+'27'!D1</f>
        <v>46169</v>
      </c>
      <c r="U539" s="56" t="str">
        <f>+'27'!A52</f>
        <v/>
      </c>
      <c r="V539" s="56">
        <f>+'27'!B52</f>
        <v>0</v>
      </c>
      <c r="W539" s="56">
        <f>+'27'!C52</f>
        <v>0</v>
      </c>
      <c r="X539" s="56">
        <f>+'27'!D52</f>
        <v>0</v>
      </c>
      <c r="Y539" s="61">
        <f>+'27'!E52</f>
        <v>0</v>
      </c>
      <c r="AB539" s="56"/>
      <c r="AC539" s="62"/>
    </row>
    <row r="540" spans="20:29">
      <c r="T540" s="10">
        <f>+'27'!D1</f>
        <v>46169</v>
      </c>
      <c r="U540" s="56" t="str">
        <f>+'27'!A53</f>
        <v/>
      </c>
      <c r="V540" s="56">
        <f>+'27'!B53</f>
        <v>0</v>
      </c>
      <c r="W540" s="56">
        <f>+'27'!C53</f>
        <v>0</v>
      </c>
      <c r="X540" s="56">
        <f>+'27'!D53</f>
        <v>0</v>
      </c>
      <c r="Y540" s="61">
        <f>+'27'!E53</f>
        <v>0</v>
      </c>
      <c r="AB540" s="56"/>
      <c r="AC540" s="62"/>
    </row>
    <row r="541" spans="20:29">
      <c r="T541" s="10">
        <f>+'27'!D1</f>
        <v>46169</v>
      </c>
      <c r="U541" s="56" t="str">
        <f>+'27'!A54</f>
        <v/>
      </c>
      <c r="V541" s="56">
        <f>+'27'!B54</f>
        <v>0</v>
      </c>
      <c r="W541" s="56">
        <f>+'27'!C54</f>
        <v>0</v>
      </c>
      <c r="X541" s="56">
        <f>+'27'!D54</f>
        <v>0</v>
      </c>
      <c r="Y541" s="61">
        <f>+'27'!E54</f>
        <v>0</v>
      </c>
      <c r="AB541" s="56"/>
      <c r="AC541" s="62"/>
    </row>
    <row r="542" spans="20:29">
      <c r="T542" s="10">
        <f>+'27'!D1</f>
        <v>46169</v>
      </c>
      <c r="U542" s="56" t="str">
        <f>+'27'!A55</f>
        <v/>
      </c>
      <c r="V542" s="56">
        <f>+'27'!B55</f>
        <v>0</v>
      </c>
      <c r="W542" s="56">
        <f>+'27'!C55</f>
        <v>0</v>
      </c>
      <c r="X542" s="56">
        <f>+'27'!D55</f>
        <v>0</v>
      </c>
      <c r="Y542" s="61">
        <f>+'27'!E55</f>
        <v>0</v>
      </c>
      <c r="AB542" s="56"/>
      <c r="AC542" s="62"/>
    </row>
    <row r="543" spans="20:29">
      <c r="T543" s="10">
        <f>+'28'!D1</f>
        <v>46170</v>
      </c>
      <c r="U543" s="56" t="str">
        <f>+'28'!A36</f>
        <v/>
      </c>
      <c r="V543" s="56">
        <f>+'28'!B36</f>
        <v>0</v>
      </c>
      <c r="W543" s="56">
        <f>+'28'!C36</f>
        <v>0</v>
      </c>
      <c r="X543" s="56">
        <f>+'28'!D36</f>
        <v>0</v>
      </c>
      <c r="Y543" s="61">
        <f>+'28'!E36</f>
        <v>0</v>
      </c>
      <c r="AB543" s="56"/>
      <c r="AC543" s="62"/>
    </row>
    <row r="544" spans="20:29">
      <c r="T544" s="10">
        <f>+'28'!D1</f>
        <v>46170</v>
      </c>
      <c r="U544" s="56" t="str">
        <f>+'28'!A37</f>
        <v/>
      </c>
      <c r="V544" s="56">
        <f>+'28'!B37</f>
        <v>0</v>
      </c>
      <c r="W544" s="56">
        <f>+'28'!C37</f>
        <v>0</v>
      </c>
      <c r="X544" s="56">
        <f>+'28'!D37</f>
        <v>0</v>
      </c>
      <c r="Y544" s="61">
        <f>+'28'!E37</f>
        <v>0</v>
      </c>
      <c r="AB544" s="56"/>
      <c r="AC544" s="62"/>
    </row>
    <row r="545" spans="20:29">
      <c r="T545" s="10">
        <f>+'28'!D1</f>
        <v>46170</v>
      </c>
      <c r="U545" s="56" t="str">
        <f>+'28'!A38</f>
        <v/>
      </c>
      <c r="V545" s="56">
        <f>+'28'!B38</f>
        <v>0</v>
      </c>
      <c r="W545" s="56">
        <f>+'28'!C38</f>
        <v>0</v>
      </c>
      <c r="X545" s="56">
        <f>+'28'!D38</f>
        <v>0</v>
      </c>
      <c r="Y545" s="61">
        <f>+'28'!E38</f>
        <v>0</v>
      </c>
      <c r="AB545" s="56"/>
      <c r="AC545" s="62"/>
    </row>
    <row r="546" spans="20:29">
      <c r="T546" s="10">
        <f>+'28'!D1</f>
        <v>46170</v>
      </c>
      <c r="U546" s="56" t="str">
        <f>+'28'!A39</f>
        <v/>
      </c>
      <c r="V546" s="56">
        <f>+'28'!B39</f>
        <v>0</v>
      </c>
      <c r="W546" s="56">
        <f>+'28'!C39</f>
        <v>0</v>
      </c>
      <c r="X546" s="56">
        <f>+'28'!D39</f>
        <v>0</v>
      </c>
      <c r="Y546" s="61">
        <f>+'28'!E39</f>
        <v>0</v>
      </c>
      <c r="AB546" s="56"/>
      <c r="AC546" s="62"/>
    </row>
    <row r="547" spans="20:29">
      <c r="T547" s="10">
        <f>+'28'!D1</f>
        <v>46170</v>
      </c>
      <c r="U547" s="56" t="str">
        <f>+'28'!A40</f>
        <v/>
      </c>
      <c r="V547" s="56">
        <f>+'28'!B40</f>
        <v>0</v>
      </c>
      <c r="W547" s="56">
        <f>+'28'!C40</f>
        <v>0</v>
      </c>
      <c r="X547" s="56">
        <f>+'28'!D40</f>
        <v>0</v>
      </c>
      <c r="Y547" s="61">
        <f>+'28'!E40</f>
        <v>0</v>
      </c>
      <c r="AB547" s="56"/>
      <c r="AC547" s="62"/>
    </row>
    <row r="548" spans="20:29">
      <c r="T548" s="10">
        <f>+'28'!D1</f>
        <v>46170</v>
      </c>
      <c r="U548" s="56" t="str">
        <f>+'28'!A41</f>
        <v/>
      </c>
      <c r="V548" s="56">
        <f>+'28'!B41</f>
        <v>0</v>
      </c>
      <c r="W548" s="56">
        <f>+'28'!C41</f>
        <v>0</v>
      </c>
      <c r="X548" s="56">
        <f>+'28'!D41</f>
        <v>0</v>
      </c>
      <c r="Y548" s="61">
        <f>+'28'!E41</f>
        <v>0</v>
      </c>
      <c r="AB548" s="56"/>
      <c r="AC548" s="62"/>
    </row>
    <row r="549" spans="20:29">
      <c r="T549" s="10">
        <f>+'28'!D1</f>
        <v>46170</v>
      </c>
      <c r="U549" s="56" t="str">
        <f>+'28'!A42</f>
        <v/>
      </c>
      <c r="V549" s="56">
        <f>+'28'!B42</f>
        <v>0</v>
      </c>
      <c r="W549" s="56">
        <f>+'28'!C42</f>
        <v>0</v>
      </c>
      <c r="X549" s="56">
        <f>+'28'!D42</f>
        <v>0</v>
      </c>
      <c r="Y549" s="61">
        <f>+'28'!E42</f>
        <v>0</v>
      </c>
      <c r="AB549" s="56"/>
      <c r="AC549" s="62"/>
    </row>
    <row r="550" spans="20:29">
      <c r="T550" s="10">
        <f>+'28'!D1</f>
        <v>46170</v>
      </c>
      <c r="U550" s="56" t="str">
        <f>+'28'!A43</f>
        <v/>
      </c>
      <c r="V550" s="56">
        <f>+'28'!B43</f>
        <v>0</v>
      </c>
      <c r="W550" s="56">
        <f>+'28'!C43</f>
        <v>0</v>
      </c>
      <c r="X550" s="56">
        <f>+'28'!D43</f>
        <v>0</v>
      </c>
      <c r="Y550" s="61">
        <f>+'28'!E43</f>
        <v>0</v>
      </c>
      <c r="AB550" s="56"/>
      <c r="AC550" s="62"/>
    </row>
    <row r="551" spans="20:29">
      <c r="T551" s="10">
        <f>+'28'!D1</f>
        <v>46170</v>
      </c>
      <c r="U551" s="56" t="str">
        <f>+'28'!A44</f>
        <v/>
      </c>
      <c r="V551" s="56">
        <f>+'28'!B44</f>
        <v>0</v>
      </c>
      <c r="W551" s="56">
        <f>+'28'!C44</f>
        <v>0</v>
      </c>
      <c r="X551" s="56">
        <f>+'28'!D44</f>
        <v>0</v>
      </c>
      <c r="Y551" s="61">
        <f>+'28'!E44</f>
        <v>0</v>
      </c>
      <c r="AB551" s="56"/>
      <c r="AC551" s="62"/>
    </row>
    <row r="552" spans="20:29">
      <c r="T552" s="10">
        <f>+'28'!D1</f>
        <v>46170</v>
      </c>
      <c r="U552" s="56" t="str">
        <f>+'28'!A45</f>
        <v/>
      </c>
      <c r="V552" s="56">
        <f>+'28'!B45</f>
        <v>0</v>
      </c>
      <c r="W552" s="56">
        <f>+'28'!C45</f>
        <v>0</v>
      </c>
      <c r="X552" s="56">
        <f>+'28'!D45</f>
        <v>0</v>
      </c>
      <c r="Y552" s="61">
        <f>+'28'!E45</f>
        <v>0</v>
      </c>
      <c r="AB552" s="56"/>
      <c r="AC552" s="62"/>
    </row>
    <row r="553" spans="20:29">
      <c r="T553" s="10">
        <f>+'28'!D1</f>
        <v>46170</v>
      </c>
      <c r="U553" s="56" t="str">
        <f>+'28'!A46</f>
        <v/>
      </c>
      <c r="V553" s="56">
        <f>+'28'!B46</f>
        <v>0</v>
      </c>
      <c r="W553" s="56">
        <f>+'28'!C46</f>
        <v>0</v>
      </c>
      <c r="X553" s="56">
        <f>+'28'!D46</f>
        <v>0</v>
      </c>
      <c r="Y553" s="61">
        <f>+'28'!E46</f>
        <v>0</v>
      </c>
      <c r="AB553" s="56"/>
      <c r="AC553" s="62"/>
    </row>
    <row r="554" spans="20:29">
      <c r="T554" s="10">
        <f>+'28'!D1</f>
        <v>46170</v>
      </c>
      <c r="U554" s="56" t="str">
        <f>+'28'!A47</f>
        <v/>
      </c>
      <c r="V554" s="56">
        <f>+'28'!B47</f>
        <v>0</v>
      </c>
      <c r="W554" s="56">
        <f>+'28'!C47</f>
        <v>0</v>
      </c>
      <c r="X554" s="56">
        <f>+'28'!D47</f>
        <v>0</v>
      </c>
      <c r="Y554" s="61">
        <f>+'28'!E47</f>
        <v>0</v>
      </c>
      <c r="AB554" s="56"/>
      <c r="AC554" s="62"/>
    </row>
    <row r="555" spans="20:29">
      <c r="T555" s="10">
        <f>+'28'!D1</f>
        <v>46170</v>
      </c>
      <c r="U555" s="56" t="str">
        <f>+'28'!A48</f>
        <v/>
      </c>
      <c r="V555" s="56">
        <f>+'28'!B48</f>
        <v>0</v>
      </c>
      <c r="W555" s="56">
        <f>+'28'!C48</f>
        <v>0</v>
      </c>
      <c r="X555" s="56">
        <f>+'28'!D48</f>
        <v>0</v>
      </c>
      <c r="Y555" s="61">
        <f>+'28'!E48</f>
        <v>0</v>
      </c>
      <c r="AB555" s="56"/>
      <c r="AC555" s="62"/>
    </row>
    <row r="556" spans="20:29">
      <c r="T556" s="10">
        <f>+'28'!D1</f>
        <v>46170</v>
      </c>
      <c r="U556" s="56" t="str">
        <f>+'28'!A49</f>
        <v/>
      </c>
      <c r="V556" s="56">
        <f>+'28'!B49</f>
        <v>0</v>
      </c>
      <c r="W556" s="56">
        <f>+'28'!C49</f>
        <v>0</v>
      </c>
      <c r="X556" s="56">
        <f>+'28'!D49</f>
        <v>0</v>
      </c>
      <c r="Y556" s="61">
        <f>+'28'!E49</f>
        <v>0</v>
      </c>
      <c r="AB556" s="56"/>
      <c r="AC556" s="62"/>
    </row>
    <row r="557" spans="20:29">
      <c r="T557" s="10">
        <f>+'28'!D1</f>
        <v>46170</v>
      </c>
      <c r="U557" s="56" t="str">
        <f>+'28'!A50</f>
        <v/>
      </c>
      <c r="V557" s="56">
        <f>+'28'!B50</f>
        <v>0</v>
      </c>
      <c r="W557" s="56">
        <f>+'28'!C50</f>
        <v>0</v>
      </c>
      <c r="X557" s="56">
        <f>+'28'!D50</f>
        <v>0</v>
      </c>
      <c r="Y557" s="61">
        <f>+'28'!E50</f>
        <v>0</v>
      </c>
      <c r="AB557" s="56"/>
      <c r="AC557" s="62"/>
    </row>
    <row r="558" spans="20:29">
      <c r="T558" s="10">
        <f>+'28'!D1</f>
        <v>46170</v>
      </c>
      <c r="U558" s="56" t="str">
        <f>+'28'!A51</f>
        <v/>
      </c>
      <c r="V558" s="56">
        <f>+'28'!B51</f>
        <v>0</v>
      </c>
      <c r="W558" s="56">
        <f>+'28'!C51</f>
        <v>0</v>
      </c>
      <c r="X558" s="56">
        <f>+'28'!D51</f>
        <v>0</v>
      </c>
      <c r="Y558" s="61">
        <f>+'28'!E51</f>
        <v>0</v>
      </c>
      <c r="AB558" s="56"/>
      <c r="AC558" s="62"/>
    </row>
    <row r="559" spans="20:29">
      <c r="T559" s="10">
        <f>+'28'!D1</f>
        <v>46170</v>
      </c>
      <c r="U559" s="56" t="str">
        <f>+'28'!A52</f>
        <v/>
      </c>
      <c r="V559" s="56">
        <f>+'28'!B52</f>
        <v>0</v>
      </c>
      <c r="W559" s="56">
        <f>+'28'!C52</f>
        <v>0</v>
      </c>
      <c r="X559" s="56">
        <f>+'28'!D52</f>
        <v>0</v>
      </c>
      <c r="Y559" s="61">
        <f>+'28'!E52</f>
        <v>0</v>
      </c>
      <c r="AB559" s="56"/>
      <c r="AC559" s="62"/>
    </row>
    <row r="560" spans="20:29">
      <c r="T560" s="10">
        <f>+'28'!D1</f>
        <v>46170</v>
      </c>
      <c r="U560" s="56" t="str">
        <f>+'28'!A53</f>
        <v/>
      </c>
      <c r="V560" s="56">
        <f>+'28'!B53</f>
        <v>0</v>
      </c>
      <c r="W560" s="56">
        <f>+'28'!C53</f>
        <v>0</v>
      </c>
      <c r="X560" s="56">
        <f>+'28'!D53</f>
        <v>0</v>
      </c>
      <c r="Y560" s="61">
        <f>+'28'!E53</f>
        <v>0</v>
      </c>
      <c r="AB560" s="56"/>
      <c r="AC560" s="62"/>
    </row>
    <row r="561" spans="20:29">
      <c r="T561" s="10">
        <f>+'28'!D1</f>
        <v>46170</v>
      </c>
      <c r="U561" s="56" t="str">
        <f>+'28'!A54</f>
        <v/>
      </c>
      <c r="V561" s="56">
        <f>+'28'!B54</f>
        <v>0</v>
      </c>
      <c r="W561" s="56">
        <f>+'28'!C54</f>
        <v>0</v>
      </c>
      <c r="X561" s="56">
        <f>+'28'!D54</f>
        <v>0</v>
      </c>
      <c r="Y561" s="61">
        <f>+'28'!E54</f>
        <v>0</v>
      </c>
      <c r="AB561" s="56"/>
      <c r="AC561" s="62"/>
    </row>
    <row r="562" spans="20:29">
      <c r="T562" s="10">
        <f>+'28'!D1</f>
        <v>46170</v>
      </c>
      <c r="U562" s="56" t="str">
        <f>+'28'!A55</f>
        <v/>
      </c>
      <c r="V562" s="56">
        <f>+'28'!B55</f>
        <v>0</v>
      </c>
      <c r="W562" s="56">
        <f>+'28'!C55</f>
        <v>0</v>
      </c>
      <c r="X562" s="56">
        <f>+'28'!D55</f>
        <v>0</v>
      </c>
      <c r="Y562" s="61">
        <f>+'28'!E55</f>
        <v>0</v>
      </c>
      <c r="AB562" s="56"/>
      <c r="AC562" s="62"/>
    </row>
    <row r="563" spans="20:29">
      <c r="T563" s="10">
        <f>+'29'!D1</f>
        <v>46171</v>
      </c>
      <c r="U563" s="56" t="str">
        <f>+'29'!A36</f>
        <v/>
      </c>
      <c r="V563" s="56">
        <f>+'29'!B36</f>
        <v>0</v>
      </c>
      <c r="W563" s="56">
        <f>+'29'!C36</f>
        <v>0</v>
      </c>
      <c r="X563" s="56">
        <f>+'29'!D36</f>
        <v>0</v>
      </c>
      <c r="Y563" s="61">
        <f>+'29'!E36</f>
        <v>0</v>
      </c>
      <c r="AB563" s="56"/>
      <c r="AC563" s="62"/>
    </row>
    <row r="564" spans="20:29">
      <c r="T564" s="10">
        <f>+'29'!D1</f>
        <v>46171</v>
      </c>
      <c r="U564" s="56" t="str">
        <f>+'29'!A37</f>
        <v/>
      </c>
      <c r="V564" s="56">
        <f>+'29'!B37</f>
        <v>0</v>
      </c>
      <c r="W564" s="56">
        <f>+'29'!C37</f>
        <v>0</v>
      </c>
      <c r="X564" s="56">
        <f>+'29'!D37</f>
        <v>0</v>
      </c>
      <c r="Y564" s="61">
        <f>+'29'!E37</f>
        <v>0</v>
      </c>
      <c r="AB564" s="56"/>
      <c r="AC564" s="62"/>
    </row>
    <row r="565" spans="20:29">
      <c r="T565" s="10">
        <f>+'29'!D1</f>
        <v>46171</v>
      </c>
      <c r="U565" s="56" t="str">
        <f>+'29'!A38</f>
        <v/>
      </c>
      <c r="V565" s="56">
        <f>+'29'!B38</f>
        <v>0</v>
      </c>
      <c r="W565" s="56">
        <f>+'29'!C38</f>
        <v>0</v>
      </c>
      <c r="X565" s="56">
        <f>+'29'!D38</f>
        <v>0</v>
      </c>
      <c r="Y565" s="61">
        <f>+'29'!E38</f>
        <v>0</v>
      </c>
      <c r="AB565" s="56"/>
      <c r="AC565" s="62"/>
    </row>
    <row r="566" spans="20:29">
      <c r="T566" s="10">
        <f>+'29'!D1</f>
        <v>46171</v>
      </c>
      <c r="U566" s="56" t="str">
        <f>+'29'!A39</f>
        <v/>
      </c>
      <c r="V566" s="56">
        <f>+'29'!B39</f>
        <v>0</v>
      </c>
      <c r="W566" s="56">
        <f>+'29'!C39</f>
        <v>0</v>
      </c>
      <c r="X566" s="56">
        <f>+'29'!D39</f>
        <v>0</v>
      </c>
      <c r="Y566" s="61">
        <f>+'29'!E39</f>
        <v>0</v>
      </c>
      <c r="AB566" s="56"/>
      <c r="AC566" s="62"/>
    </row>
    <row r="567" spans="20:29">
      <c r="T567" s="10">
        <f>+'29'!D1</f>
        <v>46171</v>
      </c>
      <c r="U567" s="56" t="str">
        <f>+'29'!A40</f>
        <v/>
      </c>
      <c r="V567" s="56">
        <f>+'29'!B40</f>
        <v>0</v>
      </c>
      <c r="W567" s="56">
        <f>+'29'!C40</f>
        <v>0</v>
      </c>
      <c r="X567" s="56">
        <f>+'29'!D40</f>
        <v>0</v>
      </c>
      <c r="Y567" s="61">
        <f>+'29'!E40</f>
        <v>0</v>
      </c>
      <c r="AB567" s="56"/>
      <c r="AC567" s="62"/>
    </row>
    <row r="568" spans="20:29">
      <c r="T568" s="10">
        <f>+'29'!D1</f>
        <v>46171</v>
      </c>
      <c r="U568" s="56" t="str">
        <f>+'29'!A41</f>
        <v/>
      </c>
      <c r="V568" s="56">
        <f>+'29'!B41</f>
        <v>0</v>
      </c>
      <c r="W568" s="56">
        <f>+'29'!C41</f>
        <v>0</v>
      </c>
      <c r="X568" s="56">
        <f>+'29'!D41</f>
        <v>0</v>
      </c>
      <c r="Y568" s="61">
        <f>+'29'!E41</f>
        <v>0</v>
      </c>
      <c r="AB568" s="56"/>
      <c r="AC568" s="62"/>
    </row>
    <row r="569" spans="20:29">
      <c r="T569" s="10">
        <f>+'29'!D1</f>
        <v>46171</v>
      </c>
      <c r="U569" s="56" t="str">
        <f>+'29'!A42</f>
        <v/>
      </c>
      <c r="V569" s="56">
        <f>+'29'!B42</f>
        <v>0</v>
      </c>
      <c r="W569" s="56">
        <f>+'29'!C42</f>
        <v>0</v>
      </c>
      <c r="X569" s="56">
        <f>+'29'!D42</f>
        <v>0</v>
      </c>
      <c r="Y569" s="61">
        <f>+'29'!E42</f>
        <v>0</v>
      </c>
      <c r="AB569" s="56"/>
      <c r="AC569" s="62"/>
    </row>
    <row r="570" spans="20:29">
      <c r="T570" s="10">
        <f>+'29'!D1</f>
        <v>46171</v>
      </c>
      <c r="U570" s="56" t="str">
        <f>+'29'!A43</f>
        <v/>
      </c>
      <c r="V570" s="56">
        <f>+'29'!B43</f>
        <v>0</v>
      </c>
      <c r="W570" s="56">
        <f>+'29'!C43</f>
        <v>0</v>
      </c>
      <c r="X570" s="56">
        <f>+'29'!D43</f>
        <v>0</v>
      </c>
      <c r="Y570" s="61">
        <f>+'29'!E43</f>
        <v>0</v>
      </c>
      <c r="AB570" s="56"/>
      <c r="AC570" s="62"/>
    </row>
    <row r="571" spans="20:29">
      <c r="T571" s="10">
        <f>+'29'!D1</f>
        <v>46171</v>
      </c>
      <c r="U571" s="56" t="str">
        <f>+'29'!A44</f>
        <v/>
      </c>
      <c r="V571" s="56">
        <f>+'29'!B44</f>
        <v>0</v>
      </c>
      <c r="W571" s="56">
        <f>+'29'!C44</f>
        <v>0</v>
      </c>
      <c r="X571" s="56">
        <f>+'29'!D44</f>
        <v>0</v>
      </c>
      <c r="Y571" s="61">
        <f>+'29'!E44</f>
        <v>0</v>
      </c>
      <c r="AB571" s="56"/>
      <c r="AC571" s="62"/>
    </row>
    <row r="572" spans="20:29">
      <c r="T572" s="10">
        <f>+'29'!D1</f>
        <v>46171</v>
      </c>
      <c r="U572" s="56" t="str">
        <f>+'29'!A45</f>
        <v/>
      </c>
      <c r="V572" s="56">
        <f>+'29'!B45</f>
        <v>0</v>
      </c>
      <c r="W572" s="56">
        <f>+'29'!C45</f>
        <v>0</v>
      </c>
      <c r="X572" s="56">
        <f>+'29'!D45</f>
        <v>0</v>
      </c>
      <c r="Y572" s="61">
        <f>+'29'!E45</f>
        <v>0</v>
      </c>
      <c r="AB572" s="56"/>
      <c r="AC572" s="62"/>
    </row>
    <row r="573" spans="20:29">
      <c r="T573" s="10">
        <f>+'29'!D1</f>
        <v>46171</v>
      </c>
      <c r="U573" s="56" t="str">
        <f>+'29'!A46</f>
        <v/>
      </c>
      <c r="V573" s="56">
        <f>+'29'!B46</f>
        <v>0</v>
      </c>
      <c r="W573" s="56">
        <f>+'29'!C46</f>
        <v>0</v>
      </c>
      <c r="X573" s="56">
        <f>+'29'!D46</f>
        <v>0</v>
      </c>
      <c r="Y573" s="61">
        <f>+'29'!E46</f>
        <v>0</v>
      </c>
      <c r="AB573" s="56"/>
      <c r="AC573" s="62"/>
    </row>
    <row r="574" spans="20:29">
      <c r="T574" s="10">
        <f>+'29'!D1</f>
        <v>46171</v>
      </c>
      <c r="U574" s="56" t="str">
        <f>+'29'!A47</f>
        <v/>
      </c>
      <c r="V574" s="56">
        <f>+'29'!B47</f>
        <v>0</v>
      </c>
      <c r="W574" s="56">
        <f>+'29'!C47</f>
        <v>0</v>
      </c>
      <c r="X574" s="56">
        <f>+'29'!D47</f>
        <v>0</v>
      </c>
      <c r="Y574" s="61">
        <f>+'29'!E47</f>
        <v>0</v>
      </c>
      <c r="AB574" s="56"/>
      <c r="AC574" s="62"/>
    </row>
    <row r="575" spans="20:29">
      <c r="T575" s="10">
        <f>+'29'!D1</f>
        <v>46171</v>
      </c>
      <c r="U575" s="56" t="str">
        <f>+'29'!A48</f>
        <v/>
      </c>
      <c r="V575" s="56">
        <f>+'29'!B48</f>
        <v>0</v>
      </c>
      <c r="W575" s="56">
        <f>+'29'!C48</f>
        <v>0</v>
      </c>
      <c r="X575" s="56">
        <f>+'29'!D48</f>
        <v>0</v>
      </c>
      <c r="Y575" s="61">
        <f>+'29'!E48</f>
        <v>0</v>
      </c>
      <c r="AB575" s="56"/>
      <c r="AC575" s="62"/>
    </row>
    <row r="576" spans="20:29">
      <c r="T576" s="10">
        <f>+'29'!D1</f>
        <v>46171</v>
      </c>
      <c r="U576" s="56" t="str">
        <f>+'29'!A49</f>
        <v/>
      </c>
      <c r="V576" s="56">
        <f>+'29'!B49</f>
        <v>0</v>
      </c>
      <c r="W576" s="56">
        <f>+'29'!C49</f>
        <v>0</v>
      </c>
      <c r="X576" s="56">
        <f>+'29'!D49</f>
        <v>0</v>
      </c>
      <c r="Y576" s="61">
        <f>+'29'!E49</f>
        <v>0</v>
      </c>
      <c r="AB576" s="56"/>
      <c r="AC576" s="62"/>
    </row>
    <row r="577" spans="20:29">
      <c r="T577" s="10">
        <f>+'29'!D1</f>
        <v>46171</v>
      </c>
      <c r="U577" s="56" t="str">
        <f>+'29'!A50</f>
        <v/>
      </c>
      <c r="V577" s="56">
        <f>+'29'!B50</f>
        <v>0</v>
      </c>
      <c r="W577" s="56">
        <f>+'29'!C50</f>
        <v>0</v>
      </c>
      <c r="X577" s="56">
        <f>+'29'!D50</f>
        <v>0</v>
      </c>
      <c r="Y577" s="61">
        <f>+'29'!E50</f>
        <v>0</v>
      </c>
      <c r="AB577" s="56"/>
      <c r="AC577" s="62"/>
    </row>
    <row r="578" spans="20:29">
      <c r="T578" s="10">
        <f>+'29'!D1</f>
        <v>46171</v>
      </c>
      <c r="U578" s="56" t="str">
        <f>+'29'!A51</f>
        <v/>
      </c>
      <c r="V578" s="56">
        <f>+'29'!B51</f>
        <v>0</v>
      </c>
      <c r="W578" s="56">
        <f>+'29'!C51</f>
        <v>0</v>
      </c>
      <c r="X578" s="56">
        <f>+'29'!D51</f>
        <v>0</v>
      </c>
      <c r="Y578" s="61">
        <f>+'29'!E51</f>
        <v>0</v>
      </c>
      <c r="AB578" s="56"/>
      <c r="AC578" s="62"/>
    </row>
    <row r="579" spans="20:29">
      <c r="T579" s="10">
        <f>+'29'!D1</f>
        <v>46171</v>
      </c>
      <c r="U579" s="56" t="str">
        <f>+'29'!A52</f>
        <v/>
      </c>
      <c r="V579" s="56">
        <f>+'29'!B52</f>
        <v>0</v>
      </c>
      <c r="W579" s="56">
        <f>+'29'!C52</f>
        <v>0</v>
      </c>
      <c r="X579" s="56">
        <f>+'29'!D52</f>
        <v>0</v>
      </c>
      <c r="Y579" s="61">
        <f>+'29'!E52</f>
        <v>0</v>
      </c>
      <c r="AB579" s="56"/>
      <c r="AC579" s="62"/>
    </row>
    <row r="580" spans="20:29">
      <c r="T580" s="10">
        <f>+'29'!D1</f>
        <v>46171</v>
      </c>
      <c r="U580" s="56" t="str">
        <f>+'29'!A53</f>
        <v/>
      </c>
      <c r="V580" s="56">
        <f>+'29'!B53</f>
        <v>0</v>
      </c>
      <c r="W580" s="56">
        <f>+'29'!C53</f>
        <v>0</v>
      </c>
      <c r="X580" s="56">
        <f>+'29'!D53</f>
        <v>0</v>
      </c>
      <c r="Y580" s="61">
        <f>+'29'!E53</f>
        <v>0</v>
      </c>
      <c r="AB580" s="56"/>
      <c r="AC580" s="62"/>
    </row>
    <row r="581" spans="20:29">
      <c r="T581" s="10">
        <f>+'29'!D1</f>
        <v>46171</v>
      </c>
      <c r="U581" s="56" t="str">
        <f>+'29'!A54</f>
        <v/>
      </c>
      <c r="V581" s="56">
        <f>+'29'!B54</f>
        <v>0</v>
      </c>
      <c r="W581" s="56">
        <f>+'29'!C54</f>
        <v>0</v>
      </c>
      <c r="X581" s="56">
        <f>+'29'!D54</f>
        <v>0</v>
      </c>
      <c r="Y581" s="61">
        <f>+'29'!E54</f>
        <v>0</v>
      </c>
      <c r="AB581" s="56"/>
      <c r="AC581" s="62"/>
    </row>
    <row r="582" spans="20:29">
      <c r="T582" s="10">
        <f>+'29'!D1</f>
        <v>46171</v>
      </c>
      <c r="U582" s="56" t="str">
        <f>+'29'!A55</f>
        <v/>
      </c>
      <c r="V582" s="56">
        <f>+'29'!B55</f>
        <v>0</v>
      </c>
      <c r="W582" s="56">
        <f>+'29'!C55</f>
        <v>0</v>
      </c>
      <c r="X582" s="56">
        <f>+'29'!D55</f>
        <v>0</v>
      </c>
      <c r="Y582" s="61">
        <f>+'29'!E55</f>
        <v>0</v>
      </c>
      <c r="AB582" s="56"/>
      <c r="AC582" s="62"/>
    </row>
    <row r="583" spans="20:29">
      <c r="T583" s="10">
        <f>+'30'!D1</f>
        <v>46172</v>
      </c>
      <c r="U583" s="56" t="str">
        <f>+'30'!A36</f>
        <v/>
      </c>
      <c r="V583" s="56">
        <f>+'30'!B36</f>
        <v>0</v>
      </c>
      <c r="W583" s="56">
        <f>+'30'!C36</f>
        <v>0</v>
      </c>
      <c r="X583" s="56">
        <f>+'30'!D36</f>
        <v>0</v>
      </c>
      <c r="Y583" s="61">
        <f>+'30'!E36</f>
        <v>0</v>
      </c>
      <c r="AB583" s="56"/>
      <c r="AC583" s="62"/>
    </row>
    <row r="584" spans="20:29">
      <c r="T584" s="10">
        <f>+'30'!D1</f>
        <v>46172</v>
      </c>
      <c r="U584" s="56" t="str">
        <f>+'30'!A37</f>
        <v/>
      </c>
      <c r="V584" s="56">
        <f>+'30'!B37</f>
        <v>0</v>
      </c>
      <c r="W584" s="56">
        <f>+'30'!C37</f>
        <v>0</v>
      </c>
      <c r="X584" s="56">
        <f>+'30'!D37</f>
        <v>0</v>
      </c>
      <c r="Y584" s="61">
        <f>+'30'!E37</f>
        <v>0</v>
      </c>
      <c r="AB584" s="56"/>
      <c r="AC584" s="62"/>
    </row>
    <row r="585" spans="20:29">
      <c r="T585" s="10">
        <f>+'30'!D1</f>
        <v>46172</v>
      </c>
      <c r="U585" s="56" t="str">
        <f>+'30'!A38</f>
        <v/>
      </c>
      <c r="V585" s="56">
        <f>+'30'!B38</f>
        <v>0</v>
      </c>
      <c r="W585" s="56">
        <f>+'30'!C38</f>
        <v>0</v>
      </c>
      <c r="X585" s="56">
        <f>+'30'!D38</f>
        <v>0</v>
      </c>
      <c r="Y585" s="61">
        <f>+'30'!E38</f>
        <v>0</v>
      </c>
      <c r="AB585" s="56"/>
      <c r="AC585" s="62"/>
    </row>
    <row r="586" spans="20:29">
      <c r="T586" s="10">
        <f>+'30'!D1</f>
        <v>46172</v>
      </c>
      <c r="U586" s="56" t="str">
        <f>+'30'!A39</f>
        <v/>
      </c>
      <c r="V586" s="56">
        <f>+'30'!B39</f>
        <v>0</v>
      </c>
      <c r="W586" s="56">
        <f>+'30'!C39</f>
        <v>0</v>
      </c>
      <c r="X586" s="56">
        <f>+'30'!D39</f>
        <v>0</v>
      </c>
      <c r="Y586" s="61">
        <f>+'30'!E39</f>
        <v>0</v>
      </c>
      <c r="AB586" s="56"/>
      <c r="AC586" s="62"/>
    </row>
    <row r="587" spans="20:29">
      <c r="T587" s="10">
        <f>+'30'!D1</f>
        <v>46172</v>
      </c>
      <c r="U587" s="56" t="str">
        <f>+'30'!A40</f>
        <v/>
      </c>
      <c r="V587" s="56">
        <f>+'30'!B40</f>
        <v>0</v>
      </c>
      <c r="W587" s="56">
        <f>+'30'!C40</f>
        <v>0</v>
      </c>
      <c r="X587" s="56">
        <f>+'30'!D40</f>
        <v>0</v>
      </c>
      <c r="Y587" s="61">
        <f>+'30'!E40</f>
        <v>0</v>
      </c>
      <c r="AB587" s="56"/>
      <c r="AC587" s="62"/>
    </row>
    <row r="588" spans="20:29">
      <c r="T588" s="10">
        <f>+'30'!D1</f>
        <v>46172</v>
      </c>
      <c r="U588" s="56" t="str">
        <f>+'30'!A41</f>
        <v/>
      </c>
      <c r="V588" s="56">
        <f>+'30'!B41</f>
        <v>0</v>
      </c>
      <c r="W588" s="56">
        <f>+'30'!C41</f>
        <v>0</v>
      </c>
      <c r="X588" s="56">
        <f>+'30'!D41</f>
        <v>0</v>
      </c>
      <c r="Y588" s="61">
        <f>+'30'!E41</f>
        <v>0</v>
      </c>
      <c r="AB588" s="56"/>
      <c r="AC588" s="62"/>
    </row>
    <row r="589" spans="20:29">
      <c r="T589" s="10">
        <f>+'30'!D1</f>
        <v>46172</v>
      </c>
      <c r="U589" s="56" t="str">
        <f>+'30'!A42</f>
        <v/>
      </c>
      <c r="V589" s="56">
        <f>+'30'!B42</f>
        <v>0</v>
      </c>
      <c r="W589" s="56">
        <f>+'30'!C42</f>
        <v>0</v>
      </c>
      <c r="X589" s="56">
        <f>+'30'!D42</f>
        <v>0</v>
      </c>
      <c r="Y589" s="61">
        <f>+'30'!E42</f>
        <v>0</v>
      </c>
      <c r="AB589" s="56"/>
      <c r="AC589" s="62"/>
    </row>
    <row r="590" spans="20:29">
      <c r="T590" s="10">
        <f>+'30'!D1</f>
        <v>46172</v>
      </c>
      <c r="U590" s="56" t="str">
        <f>+'30'!A43</f>
        <v/>
      </c>
      <c r="V590" s="56">
        <f>+'30'!B43</f>
        <v>0</v>
      </c>
      <c r="W590" s="56">
        <f>+'30'!C43</f>
        <v>0</v>
      </c>
      <c r="X590" s="56">
        <f>+'30'!D43</f>
        <v>0</v>
      </c>
      <c r="Y590" s="61">
        <f>+'30'!E43</f>
        <v>0</v>
      </c>
      <c r="AB590" s="56"/>
      <c r="AC590" s="62"/>
    </row>
    <row r="591" spans="20:29">
      <c r="T591" s="10">
        <f>+'30'!D1</f>
        <v>46172</v>
      </c>
      <c r="U591" s="56" t="str">
        <f>+'30'!A44</f>
        <v/>
      </c>
      <c r="V591" s="56">
        <f>+'30'!B44</f>
        <v>0</v>
      </c>
      <c r="W591" s="56">
        <f>+'30'!C44</f>
        <v>0</v>
      </c>
      <c r="X591" s="56">
        <f>+'30'!D44</f>
        <v>0</v>
      </c>
      <c r="Y591" s="61">
        <f>+'30'!E44</f>
        <v>0</v>
      </c>
      <c r="AB591" s="56"/>
      <c r="AC591" s="62"/>
    </row>
    <row r="592" spans="20:29">
      <c r="T592" s="10">
        <f>+'30'!D1</f>
        <v>46172</v>
      </c>
      <c r="U592" s="56" t="str">
        <f>+'30'!A45</f>
        <v/>
      </c>
      <c r="V592" s="56">
        <f>+'30'!B45</f>
        <v>0</v>
      </c>
      <c r="W592" s="56">
        <f>+'30'!C45</f>
        <v>0</v>
      </c>
      <c r="X592" s="56">
        <f>+'30'!D45</f>
        <v>0</v>
      </c>
      <c r="Y592" s="61">
        <f>+'30'!E45</f>
        <v>0</v>
      </c>
      <c r="AB592" s="56"/>
      <c r="AC592" s="62"/>
    </row>
    <row r="593" spans="20:29">
      <c r="T593" s="10">
        <f>+'30'!D1</f>
        <v>46172</v>
      </c>
      <c r="U593" s="56" t="str">
        <f>+'30'!A46</f>
        <v/>
      </c>
      <c r="V593" s="56">
        <f>+'30'!B46</f>
        <v>0</v>
      </c>
      <c r="W593" s="56">
        <f>+'30'!C46</f>
        <v>0</v>
      </c>
      <c r="X593" s="56">
        <f>+'30'!D46</f>
        <v>0</v>
      </c>
      <c r="Y593" s="61">
        <f>+'30'!E46</f>
        <v>0</v>
      </c>
      <c r="AB593" s="56"/>
      <c r="AC593" s="62"/>
    </row>
    <row r="594" spans="20:29">
      <c r="T594" s="10">
        <f>+'30'!D1</f>
        <v>46172</v>
      </c>
      <c r="U594" s="56" t="str">
        <f>+'30'!A47</f>
        <v/>
      </c>
      <c r="V594" s="56">
        <f>+'30'!B47</f>
        <v>0</v>
      </c>
      <c r="W594" s="56">
        <f>+'30'!C47</f>
        <v>0</v>
      </c>
      <c r="X594" s="56">
        <f>+'30'!D47</f>
        <v>0</v>
      </c>
      <c r="Y594" s="61">
        <f>+'30'!E47</f>
        <v>0</v>
      </c>
      <c r="AB594" s="56"/>
      <c r="AC594" s="62"/>
    </row>
    <row r="595" spans="20:29">
      <c r="T595" s="10">
        <f>+'30'!D1</f>
        <v>46172</v>
      </c>
      <c r="U595" s="56" t="str">
        <f>+'30'!A48</f>
        <v/>
      </c>
      <c r="V595" s="56">
        <f>+'30'!B48</f>
        <v>0</v>
      </c>
      <c r="W595" s="56">
        <f>+'30'!C48</f>
        <v>0</v>
      </c>
      <c r="X595" s="56">
        <f>+'30'!D48</f>
        <v>0</v>
      </c>
      <c r="Y595" s="61">
        <f>+'30'!E48</f>
        <v>0</v>
      </c>
      <c r="AB595" s="56"/>
      <c r="AC595" s="62"/>
    </row>
    <row r="596" spans="20:29">
      <c r="T596" s="10">
        <f>+'30'!D1</f>
        <v>46172</v>
      </c>
      <c r="U596" s="56" t="str">
        <f>+'30'!A49</f>
        <v/>
      </c>
      <c r="V596" s="56">
        <f>+'30'!B49</f>
        <v>0</v>
      </c>
      <c r="W596" s="56">
        <f>+'30'!C49</f>
        <v>0</v>
      </c>
      <c r="X596" s="56">
        <f>+'30'!D49</f>
        <v>0</v>
      </c>
      <c r="Y596" s="61">
        <f>+'30'!E49</f>
        <v>0</v>
      </c>
      <c r="AB596" s="56"/>
      <c r="AC596" s="62"/>
    </row>
    <row r="597" spans="20:29">
      <c r="T597" s="10">
        <f>+'30'!D1</f>
        <v>46172</v>
      </c>
      <c r="U597" s="56" t="str">
        <f>+'30'!A50</f>
        <v/>
      </c>
      <c r="V597" s="56">
        <f>+'30'!B50</f>
        <v>0</v>
      </c>
      <c r="W597" s="56">
        <f>+'30'!C50</f>
        <v>0</v>
      </c>
      <c r="X597" s="56">
        <f>+'30'!D50</f>
        <v>0</v>
      </c>
      <c r="Y597" s="61">
        <f>+'30'!E50</f>
        <v>0</v>
      </c>
      <c r="AB597" s="56"/>
      <c r="AC597" s="62"/>
    </row>
    <row r="598" spans="20:29">
      <c r="T598" s="10">
        <f>+'30'!D1</f>
        <v>46172</v>
      </c>
      <c r="U598" s="56" t="str">
        <f>+'30'!A51</f>
        <v/>
      </c>
      <c r="V598" s="56">
        <f>+'30'!B51</f>
        <v>0</v>
      </c>
      <c r="W598" s="56">
        <f>+'30'!C51</f>
        <v>0</v>
      </c>
      <c r="X598" s="56">
        <f>+'30'!D51</f>
        <v>0</v>
      </c>
      <c r="Y598" s="61">
        <f>+'30'!E51</f>
        <v>0</v>
      </c>
      <c r="AB598" s="56"/>
      <c r="AC598" s="62"/>
    </row>
    <row r="599" spans="20:29">
      <c r="T599" s="10">
        <f>+'30'!D1</f>
        <v>46172</v>
      </c>
      <c r="U599" s="56" t="str">
        <f>+'30'!A52</f>
        <v/>
      </c>
      <c r="V599" s="56">
        <f>+'30'!B52</f>
        <v>0</v>
      </c>
      <c r="W599" s="56">
        <f>+'30'!C52</f>
        <v>0</v>
      </c>
      <c r="X599" s="56">
        <f>+'30'!D52</f>
        <v>0</v>
      </c>
      <c r="Y599" s="61">
        <f>+'30'!E52</f>
        <v>0</v>
      </c>
      <c r="AB599" s="56"/>
      <c r="AC599" s="62"/>
    </row>
    <row r="600" spans="20:29">
      <c r="T600" s="10">
        <f>+'30'!D1</f>
        <v>46172</v>
      </c>
      <c r="U600" s="56" t="str">
        <f>+'30'!A53</f>
        <v/>
      </c>
      <c r="V600" s="56">
        <f>+'30'!B53</f>
        <v>0</v>
      </c>
      <c r="W600" s="56">
        <f>+'30'!C53</f>
        <v>0</v>
      </c>
      <c r="X600" s="56">
        <f>+'30'!D53</f>
        <v>0</v>
      </c>
      <c r="Y600" s="61">
        <f>+'30'!E53</f>
        <v>0</v>
      </c>
      <c r="AB600" s="56"/>
      <c r="AC600" s="62"/>
    </row>
    <row r="601" spans="20:29">
      <c r="T601" s="10">
        <f>+'30'!D1</f>
        <v>46172</v>
      </c>
      <c r="U601" s="56" t="str">
        <f>+'30'!A54</f>
        <v/>
      </c>
      <c r="V601" s="56">
        <f>+'30'!B54</f>
        <v>0</v>
      </c>
      <c r="W601" s="56">
        <f>+'30'!C54</f>
        <v>0</v>
      </c>
      <c r="X601" s="56">
        <f>+'30'!D54</f>
        <v>0</v>
      </c>
      <c r="Y601" s="61">
        <f>+'30'!E54</f>
        <v>0</v>
      </c>
      <c r="AB601" s="56"/>
      <c r="AC601" s="62"/>
    </row>
    <row r="602" spans="20:29">
      <c r="T602" s="10">
        <f>+'30'!D1</f>
        <v>46172</v>
      </c>
      <c r="U602" s="56" t="str">
        <f>+'30'!A55</f>
        <v/>
      </c>
      <c r="V602" s="56">
        <f>+'30'!B55</f>
        <v>0</v>
      </c>
      <c r="W602" s="56">
        <f>+'30'!C55</f>
        <v>0</v>
      </c>
      <c r="X602" s="56">
        <f>+'30'!D55</f>
        <v>0</v>
      </c>
      <c r="Y602" s="61">
        <f>+'30'!E55</f>
        <v>0</v>
      </c>
      <c r="AB602" s="56"/>
      <c r="AC602" s="62"/>
    </row>
    <row r="603" spans="20:29">
      <c r="T603" s="10">
        <f>+'31'!D1</f>
        <v>46173</v>
      </c>
      <c r="U603" s="56" t="str">
        <f>+'31'!A36</f>
        <v/>
      </c>
      <c r="V603" s="56">
        <f>+'31'!B36</f>
        <v>0</v>
      </c>
      <c r="W603" s="56">
        <f>+'31'!C36</f>
        <v>0</v>
      </c>
      <c r="X603" s="56">
        <f>+'31'!D36</f>
        <v>0</v>
      </c>
      <c r="Y603" s="61">
        <f>+'31'!E36</f>
        <v>0</v>
      </c>
      <c r="AB603" s="56"/>
      <c r="AC603" s="62"/>
    </row>
    <row r="604" spans="20:29">
      <c r="T604" s="10">
        <f>+'31'!D1</f>
        <v>46173</v>
      </c>
      <c r="U604" s="56" t="str">
        <f>+'31'!A37</f>
        <v/>
      </c>
      <c r="V604" s="56">
        <f>+'31'!B37</f>
        <v>0</v>
      </c>
      <c r="W604" s="56">
        <f>+'31'!C37</f>
        <v>0</v>
      </c>
      <c r="X604" s="56">
        <f>+'31'!D37</f>
        <v>0</v>
      </c>
      <c r="Y604" s="61">
        <f>+'31'!E37</f>
        <v>0</v>
      </c>
      <c r="AB604" s="56"/>
      <c r="AC604" s="62"/>
    </row>
    <row r="605" spans="20:29">
      <c r="T605" s="10">
        <f>+'31'!D1</f>
        <v>46173</v>
      </c>
      <c r="U605" s="56" t="str">
        <f>+'31'!A38</f>
        <v/>
      </c>
      <c r="V605" s="56">
        <f>+'31'!B38</f>
        <v>0</v>
      </c>
      <c r="W605" s="56">
        <f>+'31'!C38</f>
        <v>0</v>
      </c>
      <c r="X605" s="56">
        <f>+'31'!D38</f>
        <v>0</v>
      </c>
      <c r="Y605" s="61">
        <f>+'31'!E38</f>
        <v>0</v>
      </c>
      <c r="AB605" s="56"/>
      <c r="AC605" s="62"/>
    </row>
    <row r="606" spans="20:29">
      <c r="T606" s="10">
        <f>+'31'!D1</f>
        <v>46173</v>
      </c>
      <c r="U606" s="56" t="str">
        <f>+'31'!A39</f>
        <v/>
      </c>
      <c r="V606" s="56">
        <f>+'31'!B39</f>
        <v>0</v>
      </c>
      <c r="W606" s="56">
        <f>+'31'!C39</f>
        <v>0</v>
      </c>
      <c r="X606" s="56">
        <f>+'31'!D39</f>
        <v>0</v>
      </c>
      <c r="Y606" s="61">
        <f>+'31'!E39</f>
        <v>0</v>
      </c>
      <c r="AB606" s="56"/>
      <c r="AC606" s="62"/>
    </row>
    <row r="607" spans="20:29">
      <c r="T607" s="10">
        <f>+'31'!D1</f>
        <v>46173</v>
      </c>
      <c r="U607" s="56" t="str">
        <f>+'31'!A40</f>
        <v/>
      </c>
      <c r="V607" s="56">
        <f>+'31'!B40</f>
        <v>0</v>
      </c>
      <c r="W607" s="56">
        <f>+'31'!C40</f>
        <v>0</v>
      </c>
      <c r="X607" s="56">
        <f>+'31'!D40</f>
        <v>0</v>
      </c>
      <c r="Y607" s="61">
        <f>+'31'!E40</f>
        <v>0</v>
      </c>
      <c r="AB607" s="56"/>
      <c r="AC607" s="62"/>
    </row>
    <row r="608" spans="20:29">
      <c r="T608" s="10">
        <f>+'31'!D1</f>
        <v>46173</v>
      </c>
      <c r="U608" s="56" t="str">
        <f>+'31'!A41</f>
        <v/>
      </c>
      <c r="V608" s="56">
        <f>+'31'!B41</f>
        <v>0</v>
      </c>
      <c r="W608" s="56">
        <f>+'31'!C41</f>
        <v>0</v>
      </c>
      <c r="X608" s="56">
        <f>+'31'!D41</f>
        <v>0</v>
      </c>
      <c r="Y608" s="61">
        <f>+'31'!E41</f>
        <v>0</v>
      </c>
      <c r="AB608" s="56"/>
      <c r="AC608" s="62"/>
    </row>
    <row r="609" spans="20:29">
      <c r="T609" s="10">
        <f>+'31'!D1</f>
        <v>46173</v>
      </c>
      <c r="U609" s="56" t="str">
        <f>+'31'!A42</f>
        <v/>
      </c>
      <c r="V609" s="56">
        <f>+'31'!B42</f>
        <v>0</v>
      </c>
      <c r="W609" s="56">
        <f>+'31'!C42</f>
        <v>0</v>
      </c>
      <c r="X609" s="56">
        <f>+'31'!D42</f>
        <v>0</v>
      </c>
      <c r="Y609" s="61">
        <f>+'31'!E42</f>
        <v>0</v>
      </c>
      <c r="AB609" s="56"/>
      <c r="AC609" s="62"/>
    </row>
    <row r="610" spans="20:29">
      <c r="T610" s="10">
        <f>+'31'!D1</f>
        <v>46173</v>
      </c>
      <c r="U610" s="56" t="str">
        <f>+'31'!A43</f>
        <v/>
      </c>
      <c r="V610" s="56">
        <f>+'31'!B43</f>
        <v>0</v>
      </c>
      <c r="W610" s="56">
        <f>+'31'!C43</f>
        <v>0</v>
      </c>
      <c r="X610" s="56">
        <f>+'31'!D43</f>
        <v>0</v>
      </c>
      <c r="Y610" s="61">
        <f>+'31'!E43</f>
        <v>0</v>
      </c>
      <c r="AB610" s="56"/>
      <c r="AC610" s="62"/>
    </row>
    <row r="611" spans="20:29">
      <c r="T611" s="10">
        <f>+'31'!D1</f>
        <v>46173</v>
      </c>
      <c r="U611" s="56" t="str">
        <f>+'31'!A44</f>
        <v/>
      </c>
      <c r="V611" s="56">
        <f>+'31'!B44</f>
        <v>0</v>
      </c>
      <c r="W611" s="56">
        <f>+'31'!C44</f>
        <v>0</v>
      </c>
      <c r="X611" s="56">
        <f>+'31'!D44</f>
        <v>0</v>
      </c>
      <c r="Y611" s="61">
        <f>+'31'!E44</f>
        <v>0</v>
      </c>
      <c r="AB611" s="56"/>
      <c r="AC611" s="62"/>
    </row>
    <row r="612" spans="20:29">
      <c r="T612" s="10">
        <f>+'31'!D1</f>
        <v>46173</v>
      </c>
      <c r="U612" s="56" t="str">
        <f>+'31'!A45</f>
        <v/>
      </c>
      <c r="V612" s="56">
        <f>+'31'!B45</f>
        <v>0</v>
      </c>
      <c r="W612" s="56">
        <f>+'31'!C45</f>
        <v>0</v>
      </c>
      <c r="X612" s="56">
        <f>+'31'!D45</f>
        <v>0</v>
      </c>
      <c r="Y612" s="61">
        <f>+'31'!E45</f>
        <v>0</v>
      </c>
      <c r="AB612" s="56"/>
      <c r="AC612" s="62"/>
    </row>
    <row r="613" spans="20:29">
      <c r="T613" s="10">
        <f>+'31'!D1</f>
        <v>46173</v>
      </c>
      <c r="U613" s="56" t="str">
        <f>+'31'!A46</f>
        <v/>
      </c>
      <c r="V613" s="56">
        <f>+'31'!B46</f>
        <v>0</v>
      </c>
      <c r="W613" s="56">
        <f>+'31'!C46</f>
        <v>0</v>
      </c>
      <c r="X613" s="56">
        <f>+'31'!D46</f>
        <v>0</v>
      </c>
      <c r="Y613" s="61">
        <f>+'31'!E46</f>
        <v>0</v>
      </c>
      <c r="AB613" s="56"/>
      <c r="AC613" s="62"/>
    </row>
    <row r="614" spans="20:29">
      <c r="T614" s="10">
        <f>+'31'!D1</f>
        <v>46173</v>
      </c>
      <c r="U614" s="56" t="str">
        <f>+'31'!A47</f>
        <v/>
      </c>
      <c r="V614" s="56">
        <f>+'31'!B47</f>
        <v>0</v>
      </c>
      <c r="W614" s="56">
        <f>+'31'!C47</f>
        <v>0</v>
      </c>
      <c r="X614" s="56">
        <f>+'31'!D47</f>
        <v>0</v>
      </c>
      <c r="Y614" s="61">
        <f>+'31'!E47</f>
        <v>0</v>
      </c>
      <c r="AB614" s="56"/>
      <c r="AC614" s="62"/>
    </row>
    <row r="615" spans="20:29">
      <c r="T615" s="10">
        <f>+'31'!D1</f>
        <v>46173</v>
      </c>
      <c r="U615" s="56" t="str">
        <f>+'31'!A48</f>
        <v/>
      </c>
      <c r="V615" s="56">
        <f>+'31'!B48</f>
        <v>0</v>
      </c>
      <c r="W615" s="56">
        <f>+'31'!C48</f>
        <v>0</v>
      </c>
      <c r="X615" s="56">
        <f>+'31'!D48</f>
        <v>0</v>
      </c>
      <c r="Y615" s="61">
        <f>+'31'!E48</f>
        <v>0</v>
      </c>
      <c r="AB615" s="56"/>
      <c r="AC615" s="62"/>
    </row>
    <row r="616" spans="20:29">
      <c r="T616" s="10">
        <f>+'31'!D1</f>
        <v>46173</v>
      </c>
      <c r="U616" s="56" t="str">
        <f>+'31'!A49</f>
        <v/>
      </c>
      <c r="V616" s="56">
        <f>+'31'!B49</f>
        <v>0</v>
      </c>
      <c r="W616" s="56">
        <f>+'31'!C49</f>
        <v>0</v>
      </c>
      <c r="X616" s="56">
        <f>+'31'!D49</f>
        <v>0</v>
      </c>
      <c r="Y616" s="61">
        <f>+'31'!E49</f>
        <v>0</v>
      </c>
      <c r="AB616" s="56"/>
      <c r="AC616" s="62"/>
    </row>
    <row r="617" spans="20:29">
      <c r="T617" s="10">
        <f>+'31'!D1</f>
        <v>46173</v>
      </c>
      <c r="U617" s="56" t="str">
        <f>+'31'!A50</f>
        <v/>
      </c>
      <c r="V617" s="56">
        <f>+'31'!B50</f>
        <v>0</v>
      </c>
      <c r="W617" s="56">
        <f>+'31'!C50</f>
        <v>0</v>
      </c>
      <c r="X617" s="56">
        <f>+'31'!D50</f>
        <v>0</v>
      </c>
      <c r="Y617" s="61">
        <f>+'31'!E50</f>
        <v>0</v>
      </c>
      <c r="AB617" s="56"/>
      <c r="AC617" s="62"/>
    </row>
    <row r="618" spans="20:29">
      <c r="T618" s="10">
        <f>+'31'!D1</f>
        <v>46173</v>
      </c>
      <c r="U618" s="56" t="str">
        <f>+'31'!A51</f>
        <v/>
      </c>
      <c r="V618" s="56">
        <f>+'31'!B51</f>
        <v>0</v>
      </c>
      <c r="W618" s="56">
        <f>+'31'!C51</f>
        <v>0</v>
      </c>
      <c r="X618" s="56">
        <f>+'31'!D51</f>
        <v>0</v>
      </c>
      <c r="Y618" s="61">
        <f>+'31'!E51</f>
        <v>0</v>
      </c>
      <c r="AB618" s="56"/>
      <c r="AC618" s="62"/>
    </row>
    <row r="619" spans="20:29">
      <c r="T619" s="10">
        <f>+'31'!D1</f>
        <v>46173</v>
      </c>
      <c r="U619" s="56" t="str">
        <f>+'31'!A52</f>
        <v/>
      </c>
      <c r="V619" s="56">
        <f>+'31'!B52</f>
        <v>0</v>
      </c>
      <c r="W619" s="56">
        <f>+'31'!C52</f>
        <v>0</v>
      </c>
      <c r="X619" s="56">
        <f>+'31'!D52</f>
        <v>0</v>
      </c>
      <c r="Y619" s="61">
        <f>+'31'!E52</f>
        <v>0</v>
      </c>
      <c r="AB619" s="56"/>
      <c r="AC619" s="62"/>
    </row>
    <row r="620" spans="20:29">
      <c r="T620" s="10">
        <f>+'31'!D1</f>
        <v>46173</v>
      </c>
      <c r="U620" s="56" t="str">
        <f>+'31'!A53</f>
        <v/>
      </c>
      <c r="V620" s="56">
        <f>+'31'!B53</f>
        <v>0</v>
      </c>
      <c r="W620" s="56">
        <f>+'31'!C53</f>
        <v>0</v>
      </c>
      <c r="X620" s="56">
        <f>+'31'!D53</f>
        <v>0</v>
      </c>
      <c r="Y620" s="61">
        <f>+'31'!E53</f>
        <v>0</v>
      </c>
      <c r="AB620" s="56"/>
      <c r="AC620" s="62"/>
    </row>
    <row r="621" spans="20:29">
      <c r="T621" s="10">
        <f>+'31'!D1</f>
        <v>46173</v>
      </c>
      <c r="U621" s="56" t="str">
        <f>+'31'!A54</f>
        <v/>
      </c>
      <c r="V621" s="56">
        <f>+'31'!B54</f>
        <v>0</v>
      </c>
      <c r="W621" s="56">
        <f>+'31'!C54</f>
        <v>0</v>
      </c>
      <c r="X621" s="56">
        <f>+'31'!D54</f>
        <v>0</v>
      </c>
      <c r="Y621" s="61">
        <f>+'31'!E54</f>
        <v>0</v>
      </c>
      <c r="AB621" s="56"/>
      <c r="AC621" s="62"/>
    </row>
    <row r="622" spans="20:29">
      <c r="T622" s="10">
        <f>+'31'!D1</f>
        <v>46173</v>
      </c>
      <c r="U622" s="56" t="str">
        <f>+'31'!A55</f>
        <v/>
      </c>
      <c r="V622" s="56">
        <f>+'31'!B55</f>
        <v>0</v>
      </c>
      <c r="W622" s="56">
        <f>+'31'!C55</f>
        <v>0</v>
      </c>
      <c r="X622" s="56">
        <f>+'31'!D55</f>
        <v>0</v>
      </c>
      <c r="Y622" s="61">
        <f>+'31'!E55</f>
        <v>0</v>
      </c>
      <c r="AB622" s="56"/>
      <c r="AC622" s="62"/>
    </row>
    <row r="623" spans="21:29">
      <c r="U623" s="56"/>
      <c r="V623" s="56"/>
      <c r="W623" s="56"/>
      <c r="X623" s="56"/>
      <c r="Y623" s="61"/>
      <c r="AB623" s="56"/>
      <c r="AC623" s="62"/>
    </row>
    <row r="624" spans="21:29">
      <c r="U624" s="56"/>
      <c r="V624" s="56"/>
      <c r="W624" s="56"/>
      <c r="X624" s="56"/>
      <c r="Y624" s="61"/>
      <c r="AB624" s="56"/>
      <c r="AC624" s="62"/>
    </row>
    <row r="625" spans="21:29">
      <c r="U625" s="56"/>
      <c r="V625" s="56"/>
      <c r="W625" s="56"/>
      <c r="X625" s="56"/>
      <c r="Y625" s="61"/>
      <c r="AB625" s="56"/>
      <c r="AC625" s="62"/>
    </row>
    <row r="626" spans="21:29">
      <c r="U626" s="56"/>
      <c r="V626" s="56"/>
      <c r="W626" s="56"/>
      <c r="X626" s="56"/>
      <c r="Y626" s="61"/>
      <c r="AB626" s="56"/>
      <c r="AC626" s="62"/>
    </row>
  </sheetData>
  <autoFilter xmlns:etc="http://www.wps.cn/officeDocument/2017/etCustomData" ref="B2:AC622" etc:filterBottomFollowUsedRange="0">
    <extLst/>
  </autoFilter>
  <sortState ref="B3:D58">
    <sortCondition ref="B3:B58"/>
  </sortState>
  <mergeCells count="1">
    <mergeCell ref="B1:D1"/>
  </mergeCells>
  <dataValidations count="1">
    <dataValidation type="list" allowBlank="1" showInputMessage="1" showErrorMessage="1" sqref="I3:I1048576 P3:P1048576 W3:W1048576">
      <formula1>CONCEPTOS</formula1>
    </dataValidation>
  </dataValidations>
  <pageMargins left="0.7" right="0.7" top="0.75" bottom="0.75" header="0.3" footer="0.3"/>
  <pageSetup paperSize="9" orientation="portrait" horizontalDpi="360" verticalDpi="36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57"/>
  <sheetViews>
    <sheetView topLeftCell="A133" workbookViewId="0">
      <selection activeCell="F174" sqref="F174"/>
    </sheetView>
  </sheetViews>
  <sheetFormatPr defaultColWidth="11.5555555555556" defaultRowHeight="14.4" outlineLevelCol="2"/>
  <cols>
    <col min="1" max="1" width="5.11111111111111" style="1" customWidth="1"/>
    <col min="2" max="2" width="49.3333333333333" style="2" customWidth="1"/>
    <col min="3" max="3" width="15.8888888888889" style="3" customWidth="1"/>
    <col min="4" max="52" width="11.5555555555556" style="1"/>
    <col min="53" max="16384" width="11.5555555555556" style="4"/>
  </cols>
  <sheetData>
    <row r="1" spans="2:3">
      <c r="B1" s="5" t="s">
        <v>201</v>
      </c>
      <c r="C1" s="6" t="s">
        <v>3</v>
      </c>
    </row>
    <row r="2" spans="2:3">
      <c r="B2" s="7" t="s">
        <v>202</v>
      </c>
      <c r="C2" s="8">
        <v>901386692</v>
      </c>
    </row>
    <row r="3" spans="2:3">
      <c r="B3" s="7" t="s">
        <v>203</v>
      </c>
      <c r="C3" s="8">
        <v>890704196</v>
      </c>
    </row>
    <row r="4" spans="2:3">
      <c r="B4" s="7" t="s">
        <v>204</v>
      </c>
      <c r="C4" s="8">
        <v>10135953</v>
      </c>
    </row>
    <row r="5" spans="2:3">
      <c r="B5" s="7" t="s">
        <v>205</v>
      </c>
      <c r="C5" s="8">
        <v>24582360</v>
      </c>
    </row>
    <row r="6" spans="2:3">
      <c r="B6" s="7" t="s">
        <v>206</v>
      </c>
      <c r="C6" s="8">
        <v>890900608</v>
      </c>
    </row>
    <row r="7" spans="2:3">
      <c r="B7" s="7" t="s">
        <v>207</v>
      </c>
      <c r="C7" s="8">
        <v>900212550</v>
      </c>
    </row>
    <row r="8" spans="2:3">
      <c r="B8" s="7" t="s">
        <v>208</v>
      </c>
      <c r="C8" s="8">
        <v>41938210</v>
      </c>
    </row>
    <row r="9" spans="2:3">
      <c r="B9" s="7" t="s">
        <v>209</v>
      </c>
      <c r="C9" s="8">
        <v>9860331</v>
      </c>
    </row>
    <row r="10" spans="2:3">
      <c r="B10" s="7" t="s">
        <v>210</v>
      </c>
      <c r="C10" s="8">
        <v>901890701</v>
      </c>
    </row>
    <row r="11" spans="2:3">
      <c r="B11" s="7" t="s">
        <v>211</v>
      </c>
      <c r="C11" s="8">
        <v>900040299</v>
      </c>
    </row>
    <row r="12" spans="2:3">
      <c r="B12" s="7" t="s">
        <v>212</v>
      </c>
      <c r="C12" s="8">
        <v>815000863</v>
      </c>
    </row>
    <row r="13" spans="2:3">
      <c r="B13" s="7" t="s">
        <v>213</v>
      </c>
      <c r="C13" s="8">
        <v>890201881</v>
      </c>
    </row>
    <row r="14" spans="2:3">
      <c r="B14" s="7" t="s">
        <v>214</v>
      </c>
      <c r="C14" s="8">
        <v>900261318</v>
      </c>
    </row>
    <row r="15" spans="2:3">
      <c r="B15" s="7" t="s">
        <v>215</v>
      </c>
      <c r="C15" s="8">
        <v>901520508</v>
      </c>
    </row>
    <row r="16" spans="2:3">
      <c r="B16" s="7" t="s">
        <v>216</v>
      </c>
      <c r="C16" s="8">
        <v>75067364</v>
      </c>
    </row>
    <row r="17" spans="2:3">
      <c r="B17" s="7" t="s">
        <v>217</v>
      </c>
      <c r="C17" s="8">
        <v>900772067</v>
      </c>
    </row>
    <row r="18" spans="2:3">
      <c r="B18" s="7" t="s">
        <v>218</v>
      </c>
      <c r="C18" s="8">
        <v>890000332</v>
      </c>
    </row>
    <row r="19" spans="2:3">
      <c r="B19" s="7" t="s">
        <v>219</v>
      </c>
      <c r="C19" s="8">
        <v>860007322</v>
      </c>
    </row>
    <row r="20" spans="2:3">
      <c r="B20" s="7" t="s">
        <v>220</v>
      </c>
      <c r="C20" s="8">
        <v>891400669</v>
      </c>
    </row>
    <row r="21" spans="2:3">
      <c r="B21" s="7" t="s">
        <v>221</v>
      </c>
      <c r="C21" s="8">
        <v>1032433279</v>
      </c>
    </row>
    <row r="22" spans="2:3">
      <c r="B22" s="7" t="s">
        <v>222</v>
      </c>
      <c r="C22" s="8">
        <v>901418617</v>
      </c>
    </row>
    <row r="23" spans="2:3">
      <c r="B23" s="7" t="s">
        <v>223</v>
      </c>
      <c r="C23" s="8">
        <v>830136379</v>
      </c>
    </row>
    <row r="24" spans="2:3">
      <c r="B24" s="7" t="s">
        <v>224</v>
      </c>
      <c r="C24" s="8">
        <v>900055494</v>
      </c>
    </row>
    <row r="25" spans="2:3">
      <c r="B25" s="7" t="s">
        <v>225</v>
      </c>
      <c r="C25" s="8">
        <v>900396759</v>
      </c>
    </row>
    <row r="26" spans="2:3">
      <c r="B26" s="7" t="s">
        <v>226</v>
      </c>
      <c r="C26" s="8">
        <v>1130606234</v>
      </c>
    </row>
    <row r="27" spans="2:3">
      <c r="B27" s="7" t="s">
        <v>227</v>
      </c>
      <c r="C27" s="8">
        <v>43055384</v>
      </c>
    </row>
    <row r="28" spans="2:3">
      <c r="B28" s="7" t="s">
        <v>228</v>
      </c>
      <c r="C28" s="8">
        <v>900818240</v>
      </c>
    </row>
    <row r="29" spans="2:3">
      <c r="B29" s="7" t="s">
        <v>229</v>
      </c>
      <c r="C29" s="8">
        <v>890900943</v>
      </c>
    </row>
    <row r="30" spans="2:3">
      <c r="B30" s="7" t="s">
        <v>230</v>
      </c>
      <c r="C30" s="8">
        <v>901597728</v>
      </c>
    </row>
    <row r="31" spans="2:3">
      <c r="B31" s="7" t="s">
        <v>231</v>
      </c>
      <c r="C31" s="8">
        <v>900302156</v>
      </c>
    </row>
    <row r="32" spans="2:3">
      <c r="B32" s="7" t="s">
        <v>232</v>
      </c>
      <c r="C32" s="8">
        <v>901597728</v>
      </c>
    </row>
    <row r="33" spans="2:3">
      <c r="B33" s="7" t="s">
        <v>233</v>
      </c>
      <c r="C33" s="8">
        <v>901623683</v>
      </c>
    </row>
    <row r="34" spans="2:3">
      <c r="B34" s="7" t="s">
        <v>234</v>
      </c>
      <c r="C34" s="8">
        <v>860000261</v>
      </c>
    </row>
    <row r="35" spans="2:3">
      <c r="B35" s="7" t="s">
        <v>235</v>
      </c>
      <c r="C35" s="8">
        <v>890904478</v>
      </c>
    </row>
    <row r="36" spans="2:3">
      <c r="B36" s="7" t="s">
        <v>236</v>
      </c>
      <c r="C36" s="8">
        <v>42125698</v>
      </c>
    </row>
    <row r="37" spans="2:3">
      <c r="B37" s="7" t="s">
        <v>237</v>
      </c>
      <c r="C37" s="8">
        <v>901347264</v>
      </c>
    </row>
    <row r="38" spans="2:3">
      <c r="B38" s="7" t="s">
        <v>238</v>
      </c>
      <c r="C38" s="8">
        <v>901334320</v>
      </c>
    </row>
    <row r="39" spans="2:3">
      <c r="B39" s="7" t="s">
        <v>239</v>
      </c>
      <c r="C39" s="8">
        <v>900276962</v>
      </c>
    </row>
    <row r="40" spans="2:3">
      <c r="B40" s="7" t="s">
        <v>240</v>
      </c>
      <c r="C40" s="8">
        <v>18619328</v>
      </c>
    </row>
    <row r="41" spans="2:3">
      <c r="B41" s="7" t="s">
        <v>241</v>
      </c>
      <c r="C41" s="8">
        <v>800005423</v>
      </c>
    </row>
    <row r="42" spans="2:3">
      <c r="B42" s="7" t="s">
        <v>242</v>
      </c>
      <c r="C42" s="8">
        <v>800005423</v>
      </c>
    </row>
    <row r="43" spans="2:3">
      <c r="B43" s="7" t="s">
        <v>243</v>
      </c>
      <c r="C43" s="8">
        <v>901637378</v>
      </c>
    </row>
    <row r="44" spans="2:3">
      <c r="B44" s="7" t="s">
        <v>244</v>
      </c>
      <c r="C44" s="8">
        <v>42161820</v>
      </c>
    </row>
    <row r="45" spans="2:3">
      <c r="B45" s="7" t="s">
        <v>245</v>
      </c>
      <c r="C45" s="8">
        <v>42144766</v>
      </c>
    </row>
    <row r="46" spans="2:3">
      <c r="B46" s="7" t="s">
        <v>246</v>
      </c>
      <c r="C46" s="8">
        <v>860028580</v>
      </c>
    </row>
    <row r="47" spans="2:3">
      <c r="B47" s="7" t="s">
        <v>247</v>
      </c>
      <c r="C47" s="8">
        <v>900479682</v>
      </c>
    </row>
    <row r="48" spans="2:3">
      <c r="B48" s="7" t="s">
        <v>248</v>
      </c>
      <c r="C48" s="8">
        <v>24582360</v>
      </c>
    </row>
    <row r="49" spans="2:3">
      <c r="B49" s="7" t="s">
        <v>249</v>
      </c>
      <c r="C49" s="8">
        <v>900260192</v>
      </c>
    </row>
    <row r="50" spans="2:3">
      <c r="B50" s="7" t="s">
        <v>250</v>
      </c>
      <c r="C50" s="8">
        <v>890916575</v>
      </c>
    </row>
    <row r="51" spans="2:3">
      <c r="B51" s="7" t="s">
        <v>251</v>
      </c>
      <c r="C51" s="8">
        <v>901269534</v>
      </c>
    </row>
    <row r="52" spans="2:3">
      <c r="B52" s="7" t="s">
        <v>252</v>
      </c>
      <c r="C52" s="8">
        <v>901566837</v>
      </c>
    </row>
    <row r="53" spans="2:3">
      <c r="B53" s="7" t="s">
        <v>253</v>
      </c>
      <c r="C53" s="8">
        <v>42096011</v>
      </c>
    </row>
    <row r="54" spans="2:3">
      <c r="B54" s="7" t="s">
        <v>254</v>
      </c>
      <c r="C54" s="8">
        <v>1059700060</v>
      </c>
    </row>
    <row r="55" spans="2:3">
      <c r="B55" s="7" t="s">
        <v>255</v>
      </c>
      <c r="C55" s="8">
        <v>800207237</v>
      </c>
    </row>
    <row r="56" spans="2:3">
      <c r="B56" s="7" t="s">
        <v>256</v>
      </c>
      <c r="C56" s="8">
        <v>901401815</v>
      </c>
    </row>
    <row r="57" spans="2:3">
      <c r="B57" s="7" t="s">
        <v>257</v>
      </c>
      <c r="C57" s="8">
        <v>830118911</v>
      </c>
    </row>
    <row r="58" spans="2:3">
      <c r="B58" s="7" t="s">
        <v>258</v>
      </c>
      <c r="C58" s="8">
        <v>900194184</v>
      </c>
    </row>
    <row r="59" spans="2:3">
      <c r="B59" s="7" t="s">
        <v>259</v>
      </c>
      <c r="C59" s="8">
        <v>900132299</v>
      </c>
    </row>
    <row r="60" spans="2:3">
      <c r="B60" s="7" t="s">
        <v>260</v>
      </c>
      <c r="C60" s="8">
        <v>901387202</v>
      </c>
    </row>
    <row r="61" spans="2:3">
      <c r="B61" s="7" t="s">
        <v>261</v>
      </c>
      <c r="C61" s="8">
        <v>901815341</v>
      </c>
    </row>
    <row r="62" spans="2:3">
      <c r="B62" s="7" t="s">
        <v>262</v>
      </c>
      <c r="C62" s="8">
        <v>830049732</v>
      </c>
    </row>
    <row r="63" spans="2:3">
      <c r="B63" s="7" t="s">
        <v>263</v>
      </c>
      <c r="C63" s="8">
        <v>1093227554</v>
      </c>
    </row>
    <row r="64" spans="2:3">
      <c r="B64" s="7" t="s">
        <v>264</v>
      </c>
      <c r="C64" s="8">
        <v>860001697</v>
      </c>
    </row>
    <row r="65" spans="2:3">
      <c r="B65" s="7" t="s">
        <v>265</v>
      </c>
      <c r="C65" s="8">
        <v>9695390</v>
      </c>
    </row>
    <row r="66" spans="2:3">
      <c r="B66" s="7" t="s">
        <v>266</v>
      </c>
      <c r="C66" s="8">
        <v>17337651</v>
      </c>
    </row>
    <row r="67" spans="2:3">
      <c r="B67" s="7" t="s">
        <v>267</v>
      </c>
      <c r="C67" s="8">
        <v>41886932</v>
      </c>
    </row>
    <row r="68" spans="2:3">
      <c r="B68" s="7" t="s">
        <v>268</v>
      </c>
      <c r="C68" s="8">
        <v>900974862</v>
      </c>
    </row>
    <row r="69" spans="2:3">
      <c r="B69" s="7" t="s">
        <v>269</v>
      </c>
      <c r="C69" s="8">
        <v>901519140</v>
      </c>
    </row>
    <row r="70" spans="2:3">
      <c r="B70" s="7" t="s">
        <v>270</v>
      </c>
      <c r="C70" s="8">
        <v>7527883</v>
      </c>
    </row>
    <row r="71" spans="2:3">
      <c r="B71" s="7" t="s">
        <v>271</v>
      </c>
      <c r="C71" s="8">
        <v>900656024</v>
      </c>
    </row>
    <row r="72" spans="2:3">
      <c r="B72" s="7" t="s">
        <v>272</v>
      </c>
      <c r="C72" s="8">
        <v>1094952477</v>
      </c>
    </row>
    <row r="73" spans="2:3">
      <c r="B73" s="7" t="s">
        <v>273</v>
      </c>
      <c r="C73" s="8">
        <v>80793771</v>
      </c>
    </row>
    <row r="74" spans="2:3">
      <c r="B74" s="7" t="s">
        <v>274</v>
      </c>
      <c r="C74" s="8">
        <v>901793792</v>
      </c>
    </row>
    <row r="75" spans="2:3">
      <c r="B75" s="7" t="s">
        <v>275</v>
      </c>
      <c r="C75" s="8">
        <v>890903858</v>
      </c>
    </row>
    <row r="76" spans="2:3">
      <c r="B76" s="7" t="s">
        <v>276</v>
      </c>
      <c r="C76" s="8">
        <v>901654357</v>
      </c>
    </row>
    <row r="77" spans="2:3">
      <c r="B77" s="7" t="s">
        <v>277</v>
      </c>
      <c r="C77" s="8">
        <v>901793519</v>
      </c>
    </row>
    <row r="78" spans="2:3">
      <c r="B78" s="7" t="s">
        <v>278</v>
      </c>
      <c r="C78" s="8">
        <v>901549003</v>
      </c>
    </row>
    <row r="79" spans="2:3">
      <c r="B79" s="7" t="s">
        <v>279</v>
      </c>
      <c r="C79" s="8">
        <v>901423259</v>
      </c>
    </row>
    <row r="80" spans="2:3">
      <c r="B80" s="7" t="s">
        <v>280</v>
      </c>
      <c r="C80" s="8">
        <v>901977699</v>
      </c>
    </row>
    <row r="81" spans="2:3">
      <c r="B81" s="7" t="s">
        <v>281</v>
      </c>
      <c r="C81" s="8">
        <v>9695855</v>
      </c>
    </row>
    <row r="82" spans="2:3">
      <c r="B82" s="7" t="s">
        <v>282</v>
      </c>
      <c r="C82" s="8">
        <v>901544054</v>
      </c>
    </row>
    <row r="83" spans="2:3">
      <c r="B83" s="7" t="s">
        <v>283</v>
      </c>
      <c r="C83" s="8">
        <v>900480569</v>
      </c>
    </row>
    <row r="84" spans="2:3">
      <c r="B84" s="7" t="s">
        <v>284</v>
      </c>
      <c r="C84" s="8">
        <v>18493237</v>
      </c>
    </row>
    <row r="85" spans="2:3">
      <c r="B85" s="7" t="s">
        <v>285</v>
      </c>
      <c r="C85" s="8">
        <v>10001598</v>
      </c>
    </row>
    <row r="86" spans="2:3">
      <c r="B86" s="7" t="s">
        <v>286</v>
      </c>
      <c r="C86" s="8">
        <v>18493845</v>
      </c>
    </row>
    <row r="87" spans="2:3">
      <c r="B87" s="7" t="s">
        <v>287</v>
      </c>
      <c r="C87" s="8">
        <v>18508401</v>
      </c>
    </row>
    <row r="88" spans="2:3">
      <c r="B88" s="7" t="s">
        <v>288</v>
      </c>
      <c r="C88" s="8">
        <v>9861719</v>
      </c>
    </row>
    <row r="89" spans="2:3">
      <c r="B89" s="7" t="s">
        <v>289</v>
      </c>
      <c r="C89" s="8">
        <v>811006789</v>
      </c>
    </row>
    <row r="90" spans="2:3">
      <c r="B90" s="7" t="s">
        <v>290</v>
      </c>
      <c r="C90" s="8">
        <v>1110523173</v>
      </c>
    </row>
    <row r="91" spans="2:3">
      <c r="B91" s="7" t="s">
        <v>291</v>
      </c>
      <c r="C91" s="8">
        <v>41945462</v>
      </c>
    </row>
    <row r="92" spans="2:3">
      <c r="B92" s="7" t="s">
        <v>292</v>
      </c>
      <c r="C92" s="8">
        <v>1098310323</v>
      </c>
    </row>
    <row r="93" spans="2:3">
      <c r="B93" s="7" t="s">
        <v>293</v>
      </c>
      <c r="C93" s="8">
        <v>1091272945</v>
      </c>
    </row>
    <row r="94" spans="2:3">
      <c r="B94" s="7" t="s">
        <v>294</v>
      </c>
      <c r="C94" s="8">
        <v>9871405</v>
      </c>
    </row>
    <row r="95" spans="2:3">
      <c r="B95" s="7" t="s">
        <v>295</v>
      </c>
      <c r="C95" s="8">
        <v>31864376</v>
      </c>
    </row>
    <row r="96" spans="2:3">
      <c r="B96" s="7" t="s">
        <v>296</v>
      </c>
      <c r="C96" s="8">
        <v>1085634299</v>
      </c>
    </row>
    <row r="97" spans="2:3">
      <c r="B97" s="7" t="s">
        <v>297</v>
      </c>
      <c r="C97" s="8">
        <v>42108452</v>
      </c>
    </row>
    <row r="98" spans="2:3">
      <c r="B98" s="7" t="s">
        <v>298</v>
      </c>
      <c r="C98" s="8">
        <v>40770588</v>
      </c>
    </row>
    <row r="99" spans="2:3">
      <c r="B99" s="7" t="s">
        <v>299</v>
      </c>
      <c r="C99" s="8">
        <v>900059238</v>
      </c>
    </row>
    <row r="100" spans="2:3">
      <c r="B100" s="7" t="s">
        <v>300</v>
      </c>
      <c r="C100" s="8">
        <v>24606931</v>
      </c>
    </row>
    <row r="101" spans="2:3">
      <c r="B101" s="7" t="s">
        <v>301</v>
      </c>
      <c r="C101" s="8">
        <v>10480399</v>
      </c>
    </row>
    <row r="102" spans="2:3">
      <c r="B102" s="7" t="s">
        <v>302</v>
      </c>
      <c r="C102" s="8">
        <v>901197873</v>
      </c>
    </row>
    <row r="103" spans="2:3">
      <c r="B103" s="7" t="s">
        <v>303</v>
      </c>
      <c r="C103" s="8">
        <v>1004916602</v>
      </c>
    </row>
    <row r="104" spans="2:3">
      <c r="B104" s="7" t="s">
        <v>304</v>
      </c>
      <c r="C104" s="8">
        <v>901302924</v>
      </c>
    </row>
    <row r="105" spans="2:3">
      <c r="B105" s="7" t="s">
        <v>305</v>
      </c>
      <c r="C105" s="8">
        <v>860001584</v>
      </c>
    </row>
    <row r="106" spans="2:3">
      <c r="B106" s="7" t="s">
        <v>306</v>
      </c>
      <c r="C106" s="8">
        <v>901272339</v>
      </c>
    </row>
    <row r="107" spans="2:3">
      <c r="B107" s="7" t="s">
        <v>307</v>
      </c>
      <c r="C107" s="8">
        <v>901052799</v>
      </c>
    </row>
    <row r="108" spans="2:3">
      <c r="B108" s="7" t="s">
        <v>308</v>
      </c>
      <c r="C108" s="8">
        <v>1114060872</v>
      </c>
    </row>
    <row r="109" spans="2:3">
      <c r="B109" s="7" t="s">
        <v>309</v>
      </c>
      <c r="C109" s="8">
        <v>1098311678</v>
      </c>
    </row>
    <row r="110" spans="2:3">
      <c r="B110" s="7" t="s">
        <v>310</v>
      </c>
      <c r="C110" s="8">
        <v>901273373</v>
      </c>
    </row>
    <row r="111" spans="2:3">
      <c r="B111" s="7" t="s">
        <v>311</v>
      </c>
      <c r="C111" s="8">
        <v>901444041</v>
      </c>
    </row>
    <row r="112" spans="2:3">
      <c r="B112" s="7" t="s">
        <v>312</v>
      </c>
      <c r="C112" s="8">
        <v>43624616</v>
      </c>
    </row>
    <row r="113" spans="2:3">
      <c r="B113" s="7" t="s">
        <v>313</v>
      </c>
      <c r="C113" s="8">
        <v>830037946</v>
      </c>
    </row>
    <row r="114" spans="2:3">
      <c r="B114" s="7" t="s">
        <v>314</v>
      </c>
      <c r="C114" s="8">
        <v>901875447</v>
      </c>
    </row>
    <row r="115" spans="2:3">
      <c r="B115" s="7" t="s">
        <v>315</v>
      </c>
      <c r="C115" s="8">
        <v>24601890</v>
      </c>
    </row>
    <row r="116" spans="2:3">
      <c r="B116" s="7" t="s">
        <v>316</v>
      </c>
      <c r="C116" s="8">
        <v>900170958</v>
      </c>
    </row>
    <row r="117" spans="2:3">
      <c r="B117" s="7" t="s">
        <v>317</v>
      </c>
      <c r="C117" s="8">
        <v>901806134</v>
      </c>
    </row>
    <row r="118" spans="2:3">
      <c r="B118" s="7" t="s">
        <v>318</v>
      </c>
      <c r="C118" s="8">
        <v>17170377</v>
      </c>
    </row>
    <row r="119" spans="2:3">
      <c r="B119" s="7" t="s">
        <v>319</v>
      </c>
      <c r="C119" s="8">
        <v>1061816022</v>
      </c>
    </row>
    <row r="120" spans="2:3">
      <c r="B120" s="7" t="s">
        <v>320</v>
      </c>
      <c r="C120" s="8">
        <v>901181551</v>
      </c>
    </row>
    <row r="121" spans="2:3">
      <c r="B121" s="7" t="s">
        <v>321</v>
      </c>
      <c r="C121" s="8">
        <v>900319753</v>
      </c>
    </row>
    <row r="122" spans="2:3">
      <c r="B122" s="7" t="s">
        <v>322</v>
      </c>
      <c r="C122" s="8">
        <v>900547905</v>
      </c>
    </row>
    <row r="123" spans="2:3">
      <c r="B123" s="7" t="s">
        <v>323</v>
      </c>
      <c r="C123" s="8">
        <v>901295720</v>
      </c>
    </row>
    <row r="124" spans="2:3">
      <c r="B124" s="7" t="s">
        <v>324</v>
      </c>
      <c r="C124" s="8">
        <v>800175937</v>
      </c>
    </row>
    <row r="125" spans="2:3">
      <c r="B125" s="7" t="s">
        <v>325</v>
      </c>
      <c r="C125" s="8">
        <v>860004922</v>
      </c>
    </row>
    <row r="126" spans="2:3">
      <c r="B126" s="7" t="s">
        <v>326</v>
      </c>
      <c r="C126" s="8">
        <v>890401802</v>
      </c>
    </row>
    <row r="127" spans="2:3">
      <c r="B127" s="7" t="s">
        <v>327</v>
      </c>
      <c r="C127" s="8">
        <v>900365660</v>
      </c>
    </row>
    <row r="128" spans="2:3">
      <c r="B128" s="7" t="s">
        <v>328</v>
      </c>
      <c r="C128" s="8">
        <v>901268954</v>
      </c>
    </row>
    <row r="129" spans="2:3">
      <c r="B129" s="7" t="s">
        <v>329</v>
      </c>
      <c r="C129" s="8">
        <v>901756514</v>
      </c>
    </row>
    <row r="130" spans="2:3">
      <c r="B130" s="7" t="s">
        <v>330</v>
      </c>
      <c r="C130" s="8">
        <v>18513795</v>
      </c>
    </row>
    <row r="131" spans="2:3">
      <c r="B131" s="7" t="s">
        <v>331</v>
      </c>
      <c r="C131" s="8">
        <v>42137314</v>
      </c>
    </row>
    <row r="132" spans="2:3">
      <c r="B132" s="7" t="s">
        <v>332</v>
      </c>
      <c r="C132" s="8">
        <v>1088317762</v>
      </c>
    </row>
    <row r="133" spans="2:3">
      <c r="B133" s="7" t="s">
        <v>333</v>
      </c>
      <c r="C133" s="8">
        <v>1088262752</v>
      </c>
    </row>
    <row r="134" spans="2:3">
      <c r="B134" s="7" t="s">
        <v>334</v>
      </c>
      <c r="C134" s="8">
        <v>9817403</v>
      </c>
    </row>
    <row r="135" spans="2:3">
      <c r="B135" s="7" t="s">
        <v>335</v>
      </c>
      <c r="C135" s="8">
        <v>75056809</v>
      </c>
    </row>
    <row r="136" spans="2:3">
      <c r="B136" s="7" t="s">
        <v>336</v>
      </c>
      <c r="C136" s="8">
        <v>901976814</v>
      </c>
    </row>
    <row r="137" spans="2:3">
      <c r="B137" s="7" t="s">
        <v>337</v>
      </c>
      <c r="C137" s="8">
        <v>901661128</v>
      </c>
    </row>
    <row r="138" spans="2:3">
      <c r="B138" s="7" t="s">
        <v>338</v>
      </c>
      <c r="C138" s="8">
        <v>860006127</v>
      </c>
    </row>
    <row r="139" spans="2:3">
      <c r="B139" s="7" t="s">
        <v>339</v>
      </c>
      <c r="C139" s="8">
        <v>860062553</v>
      </c>
    </row>
    <row r="140" spans="2:3">
      <c r="B140" s="7" t="s">
        <v>340</v>
      </c>
      <c r="C140" s="8">
        <v>800242106</v>
      </c>
    </row>
    <row r="141" spans="2:3">
      <c r="B141" s="7" t="s">
        <v>341</v>
      </c>
      <c r="C141" s="8">
        <v>900445748</v>
      </c>
    </row>
    <row r="142" spans="2:3">
      <c r="B142" s="7" t="s">
        <v>342</v>
      </c>
      <c r="C142" s="8">
        <v>901614841</v>
      </c>
    </row>
    <row r="143" spans="2:3">
      <c r="B143" s="7" t="s">
        <v>343</v>
      </c>
      <c r="C143" s="8">
        <v>901088792</v>
      </c>
    </row>
    <row r="144" spans="2:3">
      <c r="B144" s="7" t="s">
        <v>344</v>
      </c>
      <c r="C144" s="8">
        <v>900943243</v>
      </c>
    </row>
    <row r="145" spans="2:3">
      <c r="B145" s="7" t="s">
        <v>345</v>
      </c>
      <c r="C145" s="8">
        <v>901905512</v>
      </c>
    </row>
    <row r="146" spans="2:3">
      <c r="B146" s="7" t="s">
        <v>346</v>
      </c>
      <c r="C146" s="8">
        <v>800050749</v>
      </c>
    </row>
    <row r="147" spans="2:3">
      <c r="B147" s="7" t="s">
        <v>347</v>
      </c>
      <c r="C147" s="8">
        <v>9734813</v>
      </c>
    </row>
    <row r="148" spans="2:3">
      <c r="B148" s="7" t="s">
        <v>348</v>
      </c>
      <c r="C148" s="8">
        <v>800011002</v>
      </c>
    </row>
    <row r="149" spans="2:3">
      <c r="B149" s="7" t="s">
        <v>349</v>
      </c>
      <c r="C149" s="8">
        <v>900651314</v>
      </c>
    </row>
    <row r="150" spans="2:3">
      <c r="B150" s="7" t="s">
        <v>350</v>
      </c>
      <c r="C150" s="8">
        <v>901695349</v>
      </c>
    </row>
    <row r="151" spans="2:3">
      <c r="B151" s="7" t="s">
        <v>351</v>
      </c>
      <c r="C151" s="8">
        <v>901269867</v>
      </c>
    </row>
    <row r="152" spans="2:3">
      <c r="B152" s="7" t="s">
        <v>352</v>
      </c>
      <c r="C152" s="8">
        <v>901948848</v>
      </c>
    </row>
    <row r="153" spans="2:3">
      <c r="B153" s="7" t="s">
        <v>353</v>
      </c>
      <c r="C153" s="8">
        <v>901057964</v>
      </c>
    </row>
    <row r="154" spans="2:3">
      <c r="B154" s="7" t="s">
        <v>354</v>
      </c>
      <c r="C154" s="8">
        <v>891903392</v>
      </c>
    </row>
    <row r="155" spans="2:3">
      <c r="B155" s="7" t="s">
        <v>355</v>
      </c>
      <c r="C155" s="8">
        <v>901469189</v>
      </c>
    </row>
    <row r="156" spans="2:3">
      <c r="B156" s="7" t="s">
        <v>356</v>
      </c>
      <c r="C156" s="8">
        <v>900063362</v>
      </c>
    </row>
    <row r="157" spans="2:3">
      <c r="B157" s="7" t="s">
        <v>357</v>
      </c>
      <c r="C157" s="8">
        <v>1019073160</v>
      </c>
    </row>
  </sheetData>
  <sheetProtection algorithmName="SHA-512" hashValue="keF3Mc15O4Eek9Mulyrt5hYoZclImdbWdZbTH7YHBZftdHq6HXd4XIH/pjKkvvea+orPn9k9j1ihy8Ax1l1gag==" saltValue="KZ32oPR6lqynWo4nltTA3A==" spinCount="100000" sheet="1" objects="1" scenarios="1"/>
  <sortState ref="B2:C157">
    <sortCondition ref="B2:B157"/>
  </sortState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  <rangeList sheetStid="24" master="" otherUserPermission="visible"/>
  <rangeList sheetStid="25" master="" otherUserPermission="visible"/>
  <rangeList sheetStid="26" master="" otherUserPermission="visible"/>
  <rangeList sheetStid="27" master="" otherUserPermission="visible"/>
  <rangeList sheetStid="28" master="" otherUserPermission="visible"/>
  <rangeList sheetStid="29" master="" otherUserPermission="visible"/>
  <rangeList sheetStid="30" master="" otherUserPermission="visible"/>
  <rangeList sheetStid="31" master="" otherUserPermission="visible"/>
  <rangeList sheetStid="32" master="" otherUserPermission="visible"/>
  <rangeList sheetStid="33" master="" otherUserPermission="visible"/>
  <rangeList sheetStid="34" master="" otherUserPermission="visible"/>
  <rangeList sheetStid="3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DETALLADO</vt:lpstr>
      <vt:lpstr>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Andre</cp:lastModifiedBy>
  <dcterms:created xsi:type="dcterms:W3CDTF">2026-04-16T15:27:00Z</dcterms:created>
  <cp:lastPrinted>2026-04-17T21:51:00Z</cp:lastPrinted>
  <dcterms:modified xsi:type="dcterms:W3CDTF">2026-05-01T00:04:13Z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2B013EAC217A4C1F8EA3139F2A74B1C3_12</vt:lpwstr>
  </property>
  <property fmtid="{D5CDD505-2E9C-101B-9397-08002B2CF9AE}" pid="3" name="KSOProductBuildVer">
    <vt:lpwstr>3082-12.9.0.21549</vt:lpwstr>
  </property>
</Properties>
</file>